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ipe Usage" sheetId="1" state="visible" r:id="rId1"/>
    <sheet name="Order Guide" sheetId="2" state="visible" r:id="rId2"/>
    <sheet name="Notes &amp; Flags" sheetId="3" state="visible" r:id="rId3"/>
    <sheet name="Other 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-"/>
    <numFmt numFmtId="165" formatCode="$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color rgb="00C00000"/>
      <sz val="9"/>
    </font>
    <font>
      <name val="Arial"/>
      <b val="1"/>
      <color rgb="001F3864"/>
      <sz val="10"/>
    </font>
    <font>
      <name val="Arial"/>
      <color rgb="00008000"/>
      <sz val="10"/>
    </font>
    <font>
      <name val="Arial"/>
      <color rgb="00595959"/>
      <sz val="9"/>
    </font>
    <font>
      <name val="Arial"/>
      <color rgb="00C00000"/>
      <sz val="10"/>
    </font>
    <font>
      <name val="Arial"/>
      <b val="1"/>
      <sz val="11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2F3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3" borderId="1" pivotButton="0" quotePrefix="0" xfId="0"/>
    <xf numFmtId="3" fontId="6" fillId="3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0" fillId="4" borderId="1" pivotButton="0" quotePrefix="0" xfId="0"/>
    <xf numFmtId="3" fontId="5" fillId="0" borderId="1" pivotButton="0" quotePrefix="0" xfId="0"/>
    <xf numFmtId="164" fontId="5" fillId="0" borderId="1" pivotButton="0" quotePrefix="0" xfId="0"/>
    <xf numFmtId="165" fontId="4" fillId="0" borderId="1" pivotButton="0" quotePrefix="0" xfId="0"/>
    <xf numFmtId="3" fontId="11" fillId="0" borderId="1" pivotButton="0" quotePrefix="0" xfId="0"/>
    <xf numFmtId="3" fontId="4" fillId="0" borderId="1" pivotButton="0" quotePrefix="0" xfId="0"/>
    <xf numFmtId="3" fontId="5" fillId="5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pivotButton="0" quotePrefix="0" xfId="0"/>
    <xf numFmtId="0" fontId="0" fillId="0" borderId="1" pivotButton="0" quotePrefix="0" xfId="0"/>
    <xf numFmtId="0" fontId="14" fillId="3" borderId="1" pivotButton="0" quotePrefix="0" xfId="0"/>
    <xf numFmtId="0" fontId="0" fillId="3" borderId="1" pivotButton="0" quotePrefix="0" xfId="0"/>
    <xf numFmtId="164" fontId="14" fillId="3" borderId="1" pivotButton="0" quotePrefix="0" xfId="0"/>
    <xf numFmtId="0" fontId="6" fillId="0" borderId="0" pivotButton="0" quotePrefix="0" xfId="0"/>
    <xf numFmtId="0" fontId="15" fillId="0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3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2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Recipe Usage — grams per ingredient per batch</t>
        </is>
      </c>
    </row>
    <row r="2">
      <c r="A2" s="2" t="inlineStr">
        <is>
          <t>One 'cycle' = one batch of each of the four powder mixes, at ONE location. Columbus and Cleveland both run this prep.</t>
        </is>
      </c>
    </row>
    <row r="4">
      <c r="A4" s="3" t="inlineStr">
        <is>
          <t>Ingredient</t>
        </is>
      </c>
      <c r="B4" s="3" t="inlineStr">
        <is>
          <t>Strawberry Skin Renewal</t>
        </is>
      </c>
      <c r="C4" s="3" t="inlineStr">
        <is>
          <t>Longevity</t>
        </is>
      </c>
      <c r="D4" s="3" t="inlineStr">
        <is>
          <t>Being Brigid 2.0</t>
        </is>
      </c>
      <c r="E4" s="3" t="inlineStr">
        <is>
          <t>Keto Powerhouse 2.0</t>
        </is>
      </c>
      <c r="F4" s="3" t="inlineStr">
        <is>
          <t>Total per cycle</t>
        </is>
      </c>
    </row>
    <row r="5">
      <c r="A5" s="4" t="inlineStr">
        <is>
          <t>Collagen Peptides Protein, Chocolate</t>
        </is>
      </c>
      <c r="B5" s="5" t="n"/>
      <c r="C5" s="5" t="n">
        <v>3000</v>
      </c>
      <c r="D5" s="5" t="n"/>
      <c r="E5" s="5" t="n">
        <v>450</v>
      </c>
      <c r="F5" s="6">
        <f>SUM(B5:E5)</f>
        <v/>
      </c>
    </row>
    <row r="6">
      <c r="A6" s="4" t="inlineStr">
        <is>
          <t>Collagen Peptides Protein, Vanilla</t>
        </is>
      </c>
      <c r="B6" s="5" t="n">
        <v>400</v>
      </c>
      <c r="C6" s="5" t="n"/>
      <c r="D6" s="5" t="n">
        <v>900</v>
      </c>
      <c r="E6" s="5" t="n"/>
      <c r="F6" s="6">
        <f>SUM(B6:E6)</f>
        <v/>
      </c>
    </row>
    <row r="7">
      <c r="A7" s="4" t="inlineStr">
        <is>
          <t>Creatine</t>
        </is>
      </c>
      <c r="B7" s="5" t="n">
        <v>500</v>
      </c>
      <c r="C7" s="5" t="n">
        <v>250</v>
      </c>
      <c r="D7" s="5" t="n"/>
      <c r="E7" s="5" t="n"/>
      <c r="F7" s="6">
        <f>SUM(B7:E7)</f>
        <v/>
      </c>
    </row>
    <row r="8">
      <c r="A8" s="4" t="inlineStr">
        <is>
          <t>BHB Ketone Powder, Chocolate</t>
        </is>
      </c>
      <c r="B8" s="5" t="n"/>
      <c r="C8" s="5" t="n"/>
      <c r="D8" s="5" t="n"/>
      <c r="E8" s="5" t="n">
        <v>75</v>
      </c>
      <c r="F8" s="6">
        <f>SUM(B8:E8)</f>
        <v/>
      </c>
    </row>
    <row r="9">
      <c r="A9" s="4" t="inlineStr">
        <is>
          <t>Pitaya / Dragon Fruit Powder</t>
        </is>
      </c>
      <c r="B9" s="5" t="n">
        <v>1000</v>
      </c>
      <c r="C9" s="5" t="n"/>
      <c r="D9" s="5" t="n"/>
      <c r="E9" s="5" t="n"/>
      <c r="F9" s="6">
        <f>SUM(B9:E9)</f>
        <v/>
      </c>
    </row>
    <row r="10">
      <c r="A10" s="4" t="inlineStr">
        <is>
          <t>Peanut Butter Powder</t>
        </is>
      </c>
      <c r="B10" s="5" t="n"/>
      <c r="C10" s="5" t="n"/>
      <c r="D10" s="5" t="n"/>
      <c r="E10" s="5" t="n">
        <v>1875</v>
      </c>
      <c r="F10" s="6">
        <f>SUM(B10:E10)</f>
        <v/>
      </c>
    </row>
    <row r="11">
      <c r="A11" s="4" t="inlineStr">
        <is>
          <t>Monkfruit Sugar, Powdered</t>
        </is>
      </c>
      <c r="B11" s="5" t="n"/>
      <c r="C11" s="5" t="n"/>
      <c r="D11" s="5" t="n"/>
      <c r="E11" s="5" t="n">
        <v>750</v>
      </c>
      <c r="F11" s="6">
        <f>SUM(B11:E11)</f>
        <v/>
      </c>
    </row>
    <row r="12">
      <c r="A12" s="4" t="inlineStr">
        <is>
          <t>Hyaluronic Acid Powder</t>
        </is>
      </c>
      <c r="B12" s="5" t="n">
        <v>200</v>
      </c>
      <c r="C12" s="5" t="n"/>
      <c r="D12" s="5" t="n"/>
      <c r="E12" s="5" t="n"/>
      <c r="F12" s="6">
        <f>SUM(B12:E12)</f>
        <v/>
      </c>
    </row>
    <row r="13">
      <c r="A13" s="4" t="inlineStr">
        <is>
          <t>Maca Root Powder</t>
        </is>
      </c>
      <c r="B13" s="5" t="n"/>
      <c r="C13" s="5" t="n"/>
      <c r="D13" s="5" t="n">
        <v>90</v>
      </c>
      <c r="E13" s="5" t="n"/>
      <c r="F13" s="6">
        <f>SUM(B13:E13)</f>
        <v/>
      </c>
    </row>
    <row r="14">
      <c r="A14" s="4" t="inlineStr">
        <is>
          <t>Raw Mesquite Powder</t>
        </is>
      </c>
      <c r="B14" s="5" t="n"/>
      <c r="C14" s="5" t="n"/>
      <c r="D14" s="5" t="n">
        <v>104</v>
      </c>
      <c r="E14" s="5" t="n"/>
      <c r="F14" s="6">
        <f>SUM(B14:E14)</f>
        <v/>
      </c>
    </row>
    <row r="15">
      <c r="A15" s="4" t="inlineStr">
        <is>
          <t>Chia Seeds</t>
        </is>
      </c>
      <c r="B15" s="5" t="n">
        <v>1200</v>
      </c>
      <c r="C15" s="5" t="n"/>
      <c r="D15" s="5" t="n">
        <v>270</v>
      </c>
      <c r="E15" s="5" t="n">
        <v>600</v>
      </c>
      <c r="F15" s="6">
        <f>SUM(B15:E15)</f>
        <v/>
      </c>
    </row>
    <row r="16">
      <c r="A16" s="4" t="inlineStr">
        <is>
          <t>Sea Moss Powder</t>
        </is>
      </c>
      <c r="B16" s="5" t="n">
        <v>14</v>
      </c>
      <c r="C16" s="5" t="n"/>
      <c r="D16" s="5" t="n"/>
      <c r="E16" s="5" t="n"/>
      <c r="F16" s="6">
        <f>SUM(B16:E16)</f>
        <v/>
      </c>
    </row>
    <row r="17">
      <c r="A17" s="4" t="inlineStr">
        <is>
          <t>Bovine Colostrum</t>
        </is>
      </c>
      <c r="B17" s="5" t="n"/>
      <c r="C17" s="5" t="n">
        <v>100</v>
      </c>
      <c r="D17" s="5" t="n"/>
      <c r="E17" s="5" t="n"/>
      <c r="F17" s="6">
        <f>SUM(B17:E17)</f>
        <v/>
      </c>
    </row>
    <row r="18">
      <c r="A18" s="4" t="inlineStr">
        <is>
          <t>Greens w/ PerfectAmino</t>
        </is>
      </c>
      <c r="B18" s="5" t="n"/>
      <c r="C18" s="5" t="n"/>
      <c r="D18" s="5" t="n">
        <v>90</v>
      </c>
      <c r="E18" s="5" t="n"/>
      <c r="F18" s="6">
        <f>SUM(B18:E18)</f>
        <v/>
      </c>
    </row>
    <row r="19">
      <c r="A19" s="4" t="inlineStr">
        <is>
          <t>Flax Seed, Ground</t>
        </is>
      </c>
      <c r="B19" s="5" t="n"/>
      <c r="C19" s="5" t="n"/>
      <c r="D19" s="5" t="n">
        <v>35</v>
      </c>
      <c r="E19" s="5" t="n"/>
      <c r="F19" s="6">
        <f>SUM(B19:E19)</f>
        <v/>
      </c>
    </row>
    <row r="20">
      <c r="A20" s="4" t="inlineStr">
        <is>
          <t>Blue Spirulina</t>
        </is>
      </c>
      <c r="B20" s="5" t="n"/>
      <c r="C20" s="5" t="n">
        <v>300</v>
      </c>
      <c r="D20" s="5" t="n"/>
      <c r="E20" s="5" t="n"/>
      <c r="F20" s="6">
        <f>SUM(B20:E20)</f>
        <v/>
      </c>
    </row>
    <row r="21">
      <c r="A21" s="4" t="inlineStr">
        <is>
          <t>Cocoa Powder</t>
        </is>
      </c>
      <c r="B21" s="5" t="n"/>
      <c r="C21" s="5" t="n"/>
      <c r="D21" s="5" t="n"/>
      <c r="E21" s="5" t="n">
        <v>100</v>
      </c>
      <c r="F21" s="6">
        <f>SUM(B21:E21)</f>
        <v/>
      </c>
    </row>
    <row r="22">
      <c r="A22" s="4" t="inlineStr">
        <is>
          <t>Allulose Powder</t>
        </is>
      </c>
      <c r="B22" s="5" t="n"/>
      <c r="C22" s="5" t="n"/>
      <c r="D22" s="5" t="n">
        <v>1800</v>
      </c>
      <c r="E22" s="5" t="n"/>
      <c r="F22" s="6">
        <f>SUM(B22:E22)</f>
        <v/>
      </c>
    </row>
    <row r="23">
      <c r="A23" s="4" t="inlineStr">
        <is>
          <t>Matcha</t>
        </is>
      </c>
      <c r="B23" s="5" t="n"/>
      <c r="C23" s="5" t="n"/>
      <c r="D23" s="5" t="n">
        <v>54</v>
      </c>
      <c r="E23" s="5" t="n"/>
      <c r="F23" s="6">
        <f>SUM(B23:E23)</f>
        <v/>
      </c>
    </row>
    <row r="24">
      <c r="A24" s="4" t="inlineStr">
        <is>
          <t>Cinnamon, Ground</t>
        </is>
      </c>
      <c r="B24" s="5" t="n"/>
      <c r="C24" s="5" t="n">
        <v>50</v>
      </c>
      <c r="D24" s="5" t="n"/>
      <c r="E24" s="5" t="n"/>
      <c r="F24" s="6">
        <f>SUM(B24:E24)</f>
        <v/>
      </c>
    </row>
    <row r="25">
      <c r="A25" s="7" t="inlineStr">
        <is>
          <t>BATCH TOTAL (g)</t>
        </is>
      </c>
      <c r="B25" s="8">
        <f>SUM(B5:B24)</f>
        <v/>
      </c>
      <c r="C25" s="8">
        <f>SUM(C5:C24)</f>
        <v/>
      </c>
      <c r="D25" s="8">
        <f>SUM(D5:D24)</f>
        <v/>
      </c>
      <c r="E25" s="8">
        <f>SUM(E5:E24)</f>
        <v/>
      </c>
      <c r="F25" s="8">
        <f>SUM(F5:F24)</f>
        <v/>
      </c>
    </row>
    <row r="27">
      <c r="A27" s="2" t="inlineStr">
        <is>
          <t>Quantities are from the Powder Prep (Pt. 3) slides dated 9/22/2026.</t>
        </is>
      </c>
    </row>
    <row r="28">
      <c r="A28" s="9" t="inlineStr">
        <is>
          <t>FLAG: Margin Edge lists Being Brigid flax at 135 g, not 35 g. Slide value used here. See 'Notes &amp; Flags'.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12" customWidth="1" min="4" max="4"/>
    <col width="12" customWidth="1" min="5" max="5"/>
    <col width="10" customWidth="1" min="6" max="6"/>
    <col width="14" customWidth="1" min="7" max="7"/>
    <col width="11" customWidth="1" min="8" max="8"/>
    <col width="13" customWidth="1" min="9" max="9"/>
    <col width="11" customWidth="1" min="10" max="10"/>
    <col width="11" customWidth="1" min="11" max="11"/>
    <col width="12" customWidth="1" min="12" max="12"/>
    <col width="44" customWidth="1" min="13" max="13"/>
  </cols>
  <sheetData>
    <row r="1">
      <c r="A1" s="10" t="inlineStr">
        <is>
          <t>TownHall — Smoothie Powder Prep Order Guide</t>
        </is>
      </c>
    </row>
    <row r="2">
      <c r="A2" s="2" t="inlineStr">
        <is>
          <t>Per location, per cycle (one batch of each of the four powder mixes). Columbus and Cleveland both run this prep — order for each site.</t>
        </is>
      </c>
    </row>
    <row r="3">
      <c r="A3" s="11" t="inlineStr">
        <is>
          <t>FILL IN THE YELLOW CELLS: On Hand, then Order Qty. Everything else calculates.</t>
        </is>
      </c>
    </row>
    <row r="5">
      <c r="A5" s="3" t="inlineStr">
        <is>
          <t>Ingredient</t>
        </is>
      </c>
      <c r="B5" s="3" t="inlineStr">
        <is>
          <t>Product / SKU</t>
        </is>
      </c>
      <c r="C5" s="3" t="inlineStr">
        <is>
          <t>Vendor</t>
        </is>
      </c>
      <c r="D5" s="3" t="inlineStr">
        <is>
          <t>Pack Size (g)</t>
        </is>
      </c>
      <c r="E5" s="3" t="inlineStr">
        <is>
          <t>Pack Price</t>
        </is>
      </c>
      <c r="F5" s="3" t="inlineStr">
        <is>
          <t>$ / g</t>
        </is>
      </c>
      <c r="G5" s="3" t="inlineStr">
        <is>
          <t>Need /cycle (g)</t>
        </is>
      </c>
      <c r="H5" s="3" t="inlineStr">
        <is>
          <t>Packs /cycle</t>
        </is>
      </c>
      <c r="I5" s="3" t="inlineStr">
        <is>
          <t>On Hand (packs)</t>
        </is>
      </c>
      <c r="J5" s="3" t="inlineStr">
        <is>
          <t>Suggested</t>
        </is>
      </c>
      <c r="K5" s="3" t="inlineStr">
        <is>
          <t>Order Qty</t>
        </is>
      </c>
      <c r="L5" s="3" t="inlineStr">
        <is>
          <t>Ext. Cost</t>
        </is>
      </c>
      <c r="M5" s="3" t="inlineStr">
        <is>
          <t>Notes</t>
        </is>
      </c>
    </row>
    <row r="6">
      <c r="A6" s="12" t="inlineStr">
        <is>
          <t>AMAZON BUSINESS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>
      <c r="A7" s="4" t="inlineStr">
        <is>
          <t>Collagen Peptides Protein, Chocolate</t>
        </is>
      </c>
      <c r="B7" s="4" t="inlineStr">
        <is>
          <t>Orgain Keto Collagen Protein Powder, Chocolate (14.1 oz)</t>
        </is>
      </c>
      <c r="C7" s="4" t="inlineStr">
        <is>
          <t>Amazon</t>
        </is>
      </c>
      <c r="D7" s="14" t="n">
        <v>400</v>
      </c>
      <c r="E7" s="15" t="n">
        <v>28.25</v>
      </c>
      <c r="F7" s="16">
        <f>IFERROR(E7/D7,"")</f>
        <v/>
      </c>
      <c r="G7" s="17">
        <f>'Recipe Usage'!F5</f>
        <v/>
      </c>
      <c r="H7" s="18">
        <f>IFERROR(ROUNDUP(G7/D7,0),"")</f>
        <v/>
      </c>
      <c r="I7" s="19" t="n"/>
      <c r="J7" s="18">
        <f>IFERROR(MAX(0,H7-N(I7)),"")</f>
        <v/>
      </c>
      <c r="K7" s="19" t="n"/>
      <c r="L7" s="20">
        <f>IFERROR(N(K7)*E7,0)</f>
        <v/>
      </c>
      <c r="M7" s="21" t="inlineStr">
        <is>
          <t>20% off via Subscribe &amp; Save. Margin Edge carries a 19.3 oz pack at a different price — see Notes &amp; Flags.</t>
        </is>
      </c>
    </row>
    <row r="8">
      <c r="A8" s="4" t="inlineStr">
        <is>
          <t>Collagen Peptides Protein, Vanilla</t>
        </is>
      </c>
      <c r="B8" s="4" t="inlineStr">
        <is>
          <t>Orgain Keto Collagen Protein Powder, Vanilla (14.1 oz)</t>
        </is>
      </c>
      <c r="C8" s="4" t="inlineStr">
        <is>
          <t>Amazon</t>
        </is>
      </c>
      <c r="D8" s="14" t="n">
        <v>400</v>
      </c>
      <c r="E8" s="15" t="n">
        <v>28.25</v>
      </c>
      <c r="F8" s="16">
        <f>IFERROR(E8/D8,"")</f>
        <v/>
      </c>
      <c r="G8" s="17">
        <f>'Recipe Usage'!F6</f>
        <v/>
      </c>
      <c r="H8" s="18">
        <f>IFERROR(ROUNDUP(G8/D8,0),"")</f>
        <v/>
      </c>
      <c r="I8" s="19" t="n"/>
      <c r="J8" s="18">
        <f>IFERROR(MAX(0,H8-N(I8)),"")</f>
        <v/>
      </c>
      <c r="K8" s="19" t="n"/>
      <c r="L8" s="20">
        <f>IFERROR(N(K8)*E8,0)</f>
        <v/>
      </c>
      <c r="M8" s="21" t="inlineStr">
        <is>
          <t>Strawberry's "vanilla collagen creamer" is THIS product — confirmed in Margin Edge.</t>
        </is>
      </c>
    </row>
    <row r="9">
      <c r="A9" s="4" t="inlineStr">
        <is>
          <t>Creatine</t>
        </is>
      </c>
      <c r="B9" s="4" t="inlineStr">
        <is>
          <t>THORNE Creatine, Micronized Monohydrate, Unflavored, 180 srv</t>
        </is>
      </c>
      <c r="C9" s="4" t="inlineStr">
        <is>
          <t>Amazon</t>
        </is>
      </c>
      <c r="D9" s="14" t="n">
        <v>900</v>
      </c>
      <c r="E9" s="15" t="n">
        <v>84</v>
      </c>
      <c r="F9" s="16">
        <f>IFERROR(E9/D9,"")</f>
        <v/>
      </c>
      <c r="G9" s="17">
        <f>'Recipe Usage'!F7</f>
        <v/>
      </c>
      <c r="H9" s="18">
        <f>IFERROR(ROUNDUP(G9/D9,0),"")</f>
        <v/>
      </c>
      <c r="I9" s="19" t="n"/>
      <c r="J9" s="18">
        <f>IFERROR(MAX(0,H9-N(I9)),"")</f>
        <v/>
      </c>
      <c r="K9" s="19" t="n"/>
      <c r="L9" s="20">
        <f>IFERROR(N(K9)*E9,0)</f>
        <v/>
      </c>
      <c r="M9" s="22" t="inlineStr">
        <is>
          <t>Buy the 180-srv tub. 30-srv is 2.6x the cost per gram. Slides say "liposomal" — this is monohydrate.</t>
        </is>
      </c>
    </row>
    <row r="10">
      <c r="A10" s="4" t="inlineStr">
        <is>
          <t>BHB Ketone Powder, Chocolate</t>
        </is>
      </c>
      <c r="B10" s="4" t="inlineStr">
        <is>
          <t>Perfect Keto Base Ketones, Chocolate (8.57 oz)</t>
        </is>
      </c>
      <c r="C10" s="4" t="inlineStr">
        <is>
          <t>Amazon</t>
        </is>
      </c>
      <c r="D10" s="14" t="n">
        <v>243</v>
      </c>
      <c r="E10" s="15" t="n">
        <v>42.74</v>
      </c>
      <c r="F10" s="16">
        <f>IFERROR(E10/D10,"")</f>
        <v/>
      </c>
      <c r="G10" s="17">
        <f>'Recipe Usage'!F8</f>
        <v/>
      </c>
      <c r="H10" s="18">
        <f>IFERROR(ROUNDUP(G10/D10,0),"")</f>
        <v/>
      </c>
      <c r="I10" s="19" t="n"/>
      <c r="J10" s="18">
        <f>IFERROR(MAX(0,H10-N(I10)),"")</f>
        <v/>
      </c>
      <c r="K10" s="19" t="n"/>
      <c r="L10" s="20">
        <f>IFERROR(N(K10)*E10,0)</f>
        <v/>
      </c>
      <c r="M10" s="22" t="inlineStr">
        <is>
          <t>Margin Edge uses Perfect Keto NOOTROPIC instead. Confirm which is correct.</t>
        </is>
      </c>
    </row>
    <row r="11">
      <c r="A11" s="4" t="inlineStr">
        <is>
          <t>Pitaya / Dragon Fruit Powder</t>
        </is>
      </c>
      <c r="B11" s="4" t="inlineStr">
        <is>
          <t>Micro Ingredients Organic Dragon Fruit Powder (10 oz)</t>
        </is>
      </c>
      <c r="C11" s="4" t="inlineStr">
        <is>
          <t>Amazon</t>
        </is>
      </c>
      <c r="D11" s="14" t="n">
        <v>283</v>
      </c>
      <c r="E11" s="15" t="n">
        <v>25.34</v>
      </c>
      <c r="F11" s="16">
        <f>IFERROR(E11/D11,"")</f>
        <v/>
      </c>
      <c r="G11" s="17">
        <f>'Recipe Usage'!F9</f>
        <v/>
      </c>
      <c r="H11" s="18">
        <f>IFERROR(ROUNDUP(G11/D11,0),"")</f>
        <v/>
      </c>
      <c r="I11" s="19" t="n"/>
      <c r="J11" s="18">
        <f>IFERROR(MAX(0,H11-N(I11)),"")</f>
        <v/>
      </c>
      <c r="K11" s="19" t="n"/>
      <c r="L11" s="20">
        <f>IFERROR(N(K11)*E11,0)</f>
        <v/>
      </c>
      <c r="M11" s="21" t="inlineStr">
        <is>
          <t>Label reads "pink pitaya" — correct product.</t>
        </is>
      </c>
    </row>
    <row r="12">
      <c r="A12" s="4" t="inlineStr">
        <is>
          <t>Peanut Butter Powder</t>
        </is>
      </c>
      <c r="B12" s="4" t="inlineStr">
        <is>
          <t>Micro Ingredients Pure Peanut Butter Powder, 4 lb (no sugar/salt)</t>
        </is>
      </c>
      <c r="C12" s="4" t="inlineStr">
        <is>
          <t>Amazon</t>
        </is>
      </c>
      <c r="D12" s="14" t="n">
        <v>1814</v>
      </c>
      <c r="E12" s="15" t="n">
        <v>28.41</v>
      </c>
      <c r="F12" s="16">
        <f>IFERROR(E12/D12,"")</f>
        <v/>
      </c>
      <c r="G12" s="17">
        <f>'Recipe Usage'!F10</f>
        <v/>
      </c>
      <c r="H12" s="18">
        <f>IFERROR(ROUNDUP(G12/D12,0),"")</f>
        <v/>
      </c>
      <c r="I12" s="19" t="n"/>
      <c r="J12" s="18">
        <f>IFERROR(MAX(0,H12-N(I12)),"")</f>
        <v/>
      </c>
      <c r="K12" s="19" t="n"/>
      <c r="L12" s="20">
        <f>IFERROR(N(K12)*E12,0)</f>
        <v/>
      </c>
      <c r="M12" s="22" t="inlineStr">
        <is>
          <t>UNSWEETENED ONLY. Do not substitute Lakanto (monk-fruit sweetened) — Keto has a separate monkfruit line.</t>
        </is>
      </c>
    </row>
    <row r="13">
      <c r="A13" s="4" t="inlineStr">
        <is>
          <t>Monkfruit Sugar, Powdered</t>
        </is>
      </c>
      <c r="B13" s="4" t="inlineStr">
        <is>
          <t>Lakanto Powdered Monk Fruit Sweetener w/ Erythritol, Confectioners, 1 lb</t>
        </is>
      </c>
      <c r="C13" s="4" t="inlineStr">
        <is>
          <t>Amazon</t>
        </is>
      </c>
      <c r="D13" s="14" t="n">
        <v>454</v>
      </c>
      <c r="E13" s="15" t="n">
        <v>16.29</v>
      </c>
      <c r="F13" s="16">
        <f>IFERROR(E13/D13,"")</f>
        <v/>
      </c>
      <c r="G13" s="17">
        <f>'Recipe Usage'!F11</f>
        <v/>
      </c>
      <c r="H13" s="18">
        <f>IFERROR(ROUNDUP(G13/D13,0),"")</f>
        <v/>
      </c>
      <c r="I13" s="19" t="n"/>
      <c r="J13" s="18">
        <f>IFERROR(MAX(0,H13-N(I13)),"")</f>
        <v/>
      </c>
      <c r="K13" s="19" t="n"/>
      <c r="L13" s="20">
        <f>IFERROR(N(K13)*E13,0)</f>
        <v/>
      </c>
      <c r="M13" s="21" t="inlineStr"/>
    </row>
    <row r="14">
      <c r="A14" s="4" t="inlineStr">
        <is>
          <t>Hyaluronic Acid Powder</t>
        </is>
      </c>
      <c r="B14" s="4" t="inlineStr">
        <is>
          <t>Micro Ingredients Hyaluronic Acid Serum Powder, 100 g</t>
        </is>
      </c>
      <c r="C14" s="4" t="inlineStr">
        <is>
          <t>Amazon</t>
        </is>
      </c>
      <c r="D14" s="14" t="n">
        <v>100</v>
      </c>
      <c r="E14" s="15" t="n">
        <v>34.74</v>
      </c>
      <c r="F14" s="16">
        <f>IFERROR(E14/D14,"")</f>
        <v/>
      </c>
      <c r="G14" s="17">
        <f>'Recipe Usage'!F12</f>
        <v/>
      </c>
      <c r="H14" s="18">
        <f>IFERROR(ROUNDUP(G14/D14,0),"")</f>
        <v/>
      </c>
      <c r="I14" s="19" t="n"/>
      <c r="J14" s="18">
        <f>IFERROR(MAX(0,H14-N(I14)),"")</f>
        <v/>
      </c>
      <c r="K14" s="19" t="n"/>
      <c r="L14" s="20">
        <f>IFERROR(N(K14)*E14,0)</f>
        <v/>
      </c>
      <c r="M14" s="21" t="inlineStr">
        <is>
          <t>Recipe hits pack size exactly (2 x 100 g), zero waste.</t>
        </is>
      </c>
    </row>
    <row r="15">
      <c r="A15" s="4" t="inlineStr">
        <is>
          <t>Maca Root Powder</t>
        </is>
      </c>
      <c r="B15" s="4" t="inlineStr">
        <is>
          <t>Micro Ingredients Organic Maca Root Powder, gelatinized, 2 lb</t>
        </is>
      </c>
      <c r="C15" s="4" t="inlineStr">
        <is>
          <t>Amazon</t>
        </is>
      </c>
      <c r="D15" s="14" t="n">
        <v>907</v>
      </c>
      <c r="E15" s="15" t="n">
        <v>23.35</v>
      </c>
      <c r="F15" s="16">
        <f>IFERROR(E15/D15,"")</f>
        <v/>
      </c>
      <c r="G15" s="17">
        <f>'Recipe Usage'!F13</f>
        <v/>
      </c>
      <c r="H15" s="18">
        <f>IFERROR(ROUNDUP(G15/D15,0),"")</f>
        <v/>
      </c>
      <c r="I15" s="19" t="n"/>
      <c r="J15" s="18">
        <f>IFERROR(MAX(0,H15-N(I15)),"")</f>
        <v/>
      </c>
      <c r="K15" s="19" t="n"/>
      <c r="L15" s="20">
        <f>IFERROR(N(K15)*E15,0)</f>
        <v/>
      </c>
      <c r="M15" s="21" t="inlineStr">
        <is>
          <t>~10 batches per bag.</t>
        </is>
      </c>
    </row>
    <row r="16">
      <c r="A16" s="4" t="inlineStr">
        <is>
          <t>Raw Mesquite Powder</t>
        </is>
      </c>
      <c r="B16" s="4" t="inlineStr">
        <is>
          <t>Terrasoul Superfoods Organic Mesquite Powder, 16 oz</t>
        </is>
      </c>
      <c r="C16" s="4" t="inlineStr">
        <is>
          <t>Amazon</t>
        </is>
      </c>
      <c r="D16" s="14" t="n">
        <v>454</v>
      </c>
      <c r="E16" s="15" t="n">
        <v>14.69</v>
      </c>
      <c r="F16" s="16">
        <f>IFERROR(E16/D16,"")</f>
        <v/>
      </c>
      <c r="G16" s="17">
        <f>'Recipe Usage'!F14</f>
        <v/>
      </c>
      <c r="H16" s="18">
        <f>IFERROR(ROUNDUP(G16/D16,0),"")</f>
        <v/>
      </c>
      <c r="I16" s="19" t="n"/>
      <c r="J16" s="18">
        <f>IFERROR(MAX(0,H16-N(I16)),"")</f>
        <v/>
      </c>
      <c r="K16" s="19" t="n"/>
      <c r="L16" s="20">
        <f>IFERROR(N(K16)*E16,0)</f>
        <v/>
      </c>
      <c r="M16" s="21" t="inlineStr">
        <is>
          <t>~4 batches per bag.</t>
        </is>
      </c>
    </row>
    <row r="17">
      <c r="A17" s="4" t="inlineStr">
        <is>
          <t>Chia Seeds</t>
        </is>
      </c>
      <c r="B17" s="4" t="inlineStr">
        <is>
          <t>BBF Organic Chia Seeds, 2 lb jar</t>
        </is>
      </c>
      <c r="C17" s="4" t="inlineStr">
        <is>
          <t>Amazon</t>
        </is>
      </c>
      <c r="D17" s="14" t="n">
        <v>907</v>
      </c>
      <c r="E17" s="15" t="n">
        <v>13.97</v>
      </c>
      <c r="F17" s="16">
        <f>IFERROR(E17/D17,"")</f>
        <v/>
      </c>
      <c r="G17" s="17">
        <f>'Recipe Usage'!F15</f>
        <v/>
      </c>
      <c r="H17" s="18">
        <f>IFERROR(ROUNDUP(G17/D17,0),"")</f>
        <v/>
      </c>
      <c r="I17" s="19" t="n"/>
      <c r="J17" s="18">
        <f>IFERROR(MAX(0,H17-N(I17)),"")</f>
        <v/>
      </c>
      <c r="K17" s="19" t="n"/>
      <c r="L17" s="20">
        <f>IFERROR(N(K17)*E17,0)</f>
        <v/>
      </c>
      <c r="M17" s="21" t="inlineStr">
        <is>
          <t>Stay on the 2 lb ($0.44/oz); the 20 oz is $0.48/oz.</t>
        </is>
      </c>
    </row>
    <row r="18">
      <c r="A18" s="4" t="inlineStr">
        <is>
          <t>Sea Moss Powder</t>
        </is>
      </c>
      <c r="B18" s="4" t="inlineStr">
        <is>
          <t>BareOrganics Organic Irish Sea Moss Powder, 8 oz</t>
        </is>
      </c>
      <c r="C18" s="4" t="inlineStr">
        <is>
          <t>Amazon</t>
        </is>
      </c>
      <c r="D18" s="14" t="n">
        <v>227</v>
      </c>
      <c r="E18" s="15" t="n">
        <v>21.97</v>
      </c>
      <c r="F18" s="16">
        <f>IFERROR(E18/D18,"")</f>
        <v/>
      </c>
      <c r="G18" s="17">
        <f>'Recipe Usage'!F16</f>
        <v/>
      </c>
      <c r="H18" s="18">
        <f>IFERROR(ROUNDUP(G18/D18,0),"")</f>
        <v/>
      </c>
      <c r="I18" s="19" t="n"/>
      <c r="J18" s="18">
        <f>IFERROR(MAX(0,H18-N(I18)),"")</f>
        <v/>
      </c>
      <c r="K18" s="19" t="n"/>
      <c r="L18" s="20">
        <f>IFERROR(N(K18)*E18,0)</f>
        <v/>
      </c>
      <c r="M18" s="21" t="inlineStr">
        <is>
          <t>~16 batches per tub.</t>
        </is>
      </c>
    </row>
    <row r="19">
      <c r="A19" s="4" t="inlineStr">
        <is>
          <t>Bovine Colostrum</t>
        </is>
      </c>
      <c r="B19" s="4" t="inlineStr">
        <is>
          <t>Kion Colostrum, Grass-Fed Bovine Powder, 3.39 oz</t>
        </is>
      </c>
      <c r="C19" s="4" t="inlineStr">
        <is>
          <t>Amazon</t>
        </is>
      </c>
      <c r="D19" s="14" t="n">
        <v>96</v>
      </c>
      <c r="E19" s="15" t="n">
        <v>54.95</v>
      </c>
      <c r="F19" s="16">
        <f>IFERROR(E19/D19,"")</f>
        <v/>
      </c>
      <c r="G19" s="17">
        <f>'Recipe Usage'!F17</f>
        <v/>
      </c>
      <c r="H19" s="18">
        <f>IFERROR(ROUNDUP(G19/D19,0),"")</f>
        <v/>
      </c>
      <c r="I19" s="19" t="n"/>
      <c r="J19" s="18">
        <f>IFERROR(MAX(0,H19-N(I19)),"")</f>
        <v/>
      </c>
      <c r="K19" s="19" t="n"/>
      <c r="L19" s="20">
        <f>IFERROR(N(K19)*E19,0)</f>
        <v/>
      </c>
      <c r="M19" s="22" t="inlineStr">
        <is>
          <t>Recipe is 100 g vs a 96 g jar — 4 g over forces a 2nd jar. Rounding to 96 g saves $54.95/batch.</t>
        </is>
      </c>
    </row>
    <row r="20">
      <c r="A20" s="4" t="inlineStr">
        <is>
          <t>Greens w/ PerfectAmino</t>
        </is>
      </c>
      <c r="B20" s="4" t="inlineStr">
        <is>
          <t>BodyHealth Greens Enhanced w/ PerfectAmino, Green Apple, 8.61 oz</t>
        </is>
      </c>
      <c r="C20" s="4" t="inlineStr">
        <is>
          <t>Amazon</t>
        </is>
      </c>
      <c r="D20" s="14" t="n">
        <v>244</v>
      </c>
      <c r="E20" s="15" t="n">
        <v>64.17</v>
      </c>
      <c r="F20" s="16">
        <f>IFERROR(E20/D20,"")</f>
        <v/>
      </c>
      <c r="G20" s="17">
        <f>'Recipe Usage'!F18</f>
        <v/>
      </c>
      <c r="H20" s="18">
        <f>IFERROR(ROUNDUP(G20/D20,0),"")</f>
        <v/>
      </c>
      <c r="I20" s="19" t="n"/>
      <c r="J20" s="18">
        <f>IFERROR(MAX(0,H20-N(I20)),"")</f>
        <v/>
      </c>
      <c r="K20" s="19" t="n"/>
      <c r="L20" s="20">
        <f>IFERROR(N(K20)*E20,0)</f>
        <v/>
      </c>
      <c r="M20" s="21" t="inlineStr">
        <is>
          <t>Listing has 4 sizes (6.24/6.63/8.3/8.61 oz). Standardize on 8.61 oz.</t>
        </is>
      </c>
    </row>
    <row r="21">
      <c r="A21" s="4" t="inlineStr">
        <is>
          <t>Flax Seed, Ground</t>
        </is>
      </c>
      <c r="B21" s="4" t="inlineStr">
        <is>
          <t>Viva Naturals Organic Ground Flaxseed, finely milled, 15 oz</t>
        </is>
      </c>
      <c r="C21" s="4" t="inlineStr">
        <is>
          <t>Amazon</t>
        </is>
      </c>
      <c r="D21" s="14" t="n">
        <v>425</v>
      </c>
      <c r="E21" s="15" t="n">
        <v>11.15</v>
      </c>
      <c r="F21" s="16">
        <f>IFERROR(E21/D21,"")</f>
        <v/>
      </c>
      <c r="G21" s="17">
        <f>'Recipe Usage'!F19</f>
        <v/>
      </c>
      <c r="H21" s="18">
        <f>IFERROR(ROUNDUP(G21/D21,0),"")</f>
        <v/>
      </c>
      <c r="I21" s="19" t="n"/>
      <c r="J21" s="18">
        <f>IFERROR(MAX(0,H21-N(I21)),"")</f>
        <v/>
      </c>
      <c r="K21" s="19" t="n"/>
      <c r="L21" s="20">
        <f>IFERROR(N(K21)*E21,0)</f>
        <v/>
      </c>
      <c r="M21" s="22" t="inlineStr">
        <is>
          <t>Business price. Margin Edge shows 135 g per batch, slide says 35 g — confirm.</t>
        </is>
      </c>
    </row>
    <row r="22">
      <c r="A22" s="4" t="inlineStr">
        <is>
          <t>Blue Spirulina</t>
        </is>
      </c>
      <c r="B22" s="4" t="inlineStr">
        <is>
          <t>Micro Ingredients Organic Blue Spirulina (phycocyanin), 2 oz</t>
        </is>
      </c>
      <c r="C22" s="4" t="inlineStr">
        <is>
          <t>Amazon</t>
        </is>
      </c>
      <c r="D22" s="14" t="n">
        <v>60</v>
      </c>
      <c r="E22" s="15" t="n">
        <v>27.26</v>
      </c>
      <c r="F22" s="16">
        <f>IFERROR(E22/D22,"")</f>
        <v/>
      </c>
      <c r="G22" s="17">
        <f>'Recipe Usage'!F20</f>
        <v/>
      </c>
      <c r="H22" s="18">
        <f>IFERROR(ROUNDUP(G22/D22,0),"")</f>
        <v/>
      </c>
      <c r="I22" s="19" t="n"/>
      <c r="J22" s="18">
        <f>IFERROR(MAX(0,H22-N(I22)),"")</f>
        <v/>
      </c>
      <c r="K22" s="19" t="n"/>
      <c r="L22" s="20">
        <f>IFERROR(N(K22)*E22,0)</f>
        <v/>
      </c>
      <c r="M22" s="21" t="inlineStr">
        <is>
          <t>Exactly 5 bags, zero waste. 2nd most expensive gram in the program.</t>
        </is>
      </c>
    </row>
    <row r="23">
      <c r="A23" s="4" t="inlineStr">
        <is>
          <t>Cocoa Powder</t>
        </is>
      </c>
      <c r="B23" s="23" t="inlineStr">
        <is>
          <t>** NO SKU CONFIRMED ** — milled cocoa powder needed</t>
        </is>
      </c>
      <c r="C23" s="4" t="inlineStr">
        <is>
          <t>Amazon</t>
        </is>
      </c>
      <c r="D23" s="24" t="n"/>
      <c r="E23" s="24" t="n"/>
      <c r="F23" s="24" t="n"/>
      <c r="G23" s="17">
        <f>'Recipe Usage'!F21</f>
        <v/>
      </c>
      <c r="H23" s="24" t="n"/>
      <c r="I23" s="24" t="n"/>
      <c r="J23" s="24" t="n"/>
      <c r="K23" s="24" t="n"/>
      <c r="L23" s="24" t="n"/>
      <c r="M23" s="22" t="inlineStr">
        <is>
          <t>Cacao NIBS are cafe-side (acai bowl) and cannot substitute — they won't pass the sift step. Margin Edge has 'Spice, Cocoa Powder' at $1.57/100 g.</t>
        </is>
      </c>
    </row>
    <row r="24">
      <c r="A24" s="12" t="inlineStr">
        <is>
          <t>OTHER VENDORS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</row>
    <row r="25">
      <c r="A25" s="4" t="inlineStr">
        <is>
          <t>Allulose Powder</t>
        </is>
      </c>
      <c r="B25" s="4" t="inlineStr">
        <is>
          <t>Allulose Powder, 55 lb bulk bag</t>
        </is>
      </c>
      <c r="C25" s="4" t="inlineStr">
        <is>
          <t>Hillcrest</t>
        </is>
      </c>
      <c r="D25" s="14" t="n">
        <v>24948</v>
      </c>
      <c r="E25" s="15" t="n">
        <v>214.08</v>
      </c>
      <c r="F25" s="16">
        <f>IFERROR(E25/D25,"")</f>
        <v/>
      </c>
      <c r="G25" s="17">
        <f>'Recipe Usage'!F22</f>
        <v/>
      </c>
      <c r="H25" s="18">
        <f>IFERROR(ROUNDUP(G25/D25,0),"")</f>
        <v/>
      </c>
      <c r="I25" s="19" t="n"/>
      <c r="J25" s="18">
        <f>IFERROR(MAX(0,H25-N(I25)),"")</f>
        <v/>
      </c>
      <c r="K25" s="19" t="n"/>
      <c r="L25" s="20">
        <f>IFERROR(N(K25)*E25,0)</f>
        <v/>
      </c>
      <c r="M25" s="21" t="inlineStr">
        <is>
          <t>~14 batches per bag. Bulk drop-ship — confirm lead time, not a 2-day item.</t>
        </is>
      </c>
    </row>
    <row r="26">
      <c r="A26" s="4" t="inlineStr">
        <is>
          <t>Matcha</t>
        </is>
      </c>
      <c r="B26" s="4" t="inlineStr">
        <is>
          <t>Sante Matcha CoffeeHouse Ceremonial, Organic, 250 g</t>
        </is>
      </c>
      <c r="C26" s="4" t="inlineStr">
        <is>
          <t>Sante (direct)</t>
        </is>
      </c>
      <c r="D26" s="14" t="n">
        <v>250</v>
      </c>
      <c r="E26" s="15" t="n">
        <v>74.25</v>
      </c>
      <c r="F26" s="16">
        <f>IFERROR(E26/D26,"")</f>
        <v/>
      </c>
      <c r="G26" s="17">
        <f>'Recipe Usage'!F23</f>
        <v/>
      </c>
      <c r="H26" s="18">
        <f>IFERROR(ROUNDUP(G26/D26,0),"")</f>
        <v/>
      </c>
      <c r="I26" s="19" t="n"/>
      <c r="J26" s="18">
        <f>IFERROR(MAX(0,H26-N(I26)),"")</f>
        <v/>
      </c>
      <c r="K26" s="19" t="n"/>
      <c r="L26" s="20">
        <f>IFERROR(N(K26)*E26,0)</f>
        <v/>
      </c>
      <c r="M26" s="21" t="inlineStr">
        <is>
          <t>$74.25/bag net of a 38% account discount (list $120). Sold in 10-bag lots = $742.50, ~46 batches. Order on its own cadence.</t>
        </is>
      </c>
    </row>
    <row r="27">
      <c r="A27" s="12" t="inlineStr">
        <is>
          <t>IN-HOUSE — NOT AN ORDER LINE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</row>
    <row r="28">
      <c r="A28" s="4" t="inlineStr">
        <is>
          <t>Cinnamon, Ground</t>
        </is>
      </c>
      <c r="B28" s="4" t="inlineStr">
        <is>
          <t>Carried in kitchen stock</t>
        </is>
      </c>
      <c r="C28" s="4" t="inlineStr">
        <is>
          <t>In-house</t>
        </is>
      </c>
      <c r="D28" s="24" t="n"/>
      <c r="E28" s="24" t="n"/>
      <c r="F28" s="24" t="n"/>
      <c r="G28" s="17">
        <f>'Recipe Usage'!F24</f>
        <v/>
      </c>
      <c r="H28" s="24" t="n"/>
      <c r="I28" s="24" t="n"/>
      <c r="J28" s="24" t="n"/>
      <c r="K28" s="24" t="n"/>
      <c r="L28" s="24" t="n"/>
      <c r="M28" s="21" t="inlineStr">
        <is>
          <t>Pull from stock. Stays on the prep guide, excluded from ordering.</t>
        </is>
      </c>
    </row>
    <row r="29">
      <c r="A29" s="25" t="inlineStr">
        <is>
          <t>ORDER TOTAL (this location)</t>
        </is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7">
        <f>SUM(L6:L28)</f>
        <v/>
      </c>
      <c r="M29" s="26" t="n"/>
    </row>
    <row r="31">
      <c r="A31" s="28" t="inlineStr">
        <is>
          <t>LEGEND</t>
        </is>
      </c>
    </row>
    <row r="32">
      <c r="A32" s="29" t="inlineStr">
        <is>
          <t>Yellow cells = you fill in (On Hand, Order Qty)</t>
        </is>
      </c>
    </row>
    <row r="33">
      <c r="A33" s="30" t="inlineStr">
        <is>
          <t>Blue text = fixed data (pack size, price). Update when prices change.</t>
        </is>
      </c>
    </row>
    <row r="34">
      <c r="A34" s="31" t="inlineStr">
        <is>
          <t>Green text = pulled from the 'Recipe Usage' tab</t>
        </is>
      </c>
    </row>
    <row r="35">
      <c r="A35" s="32" t="inlineStr">
        <is>
          <t>Black text = calculated — do not overwrite</t>
        </is>
      </c>
    </row>
    <row r="36">
      <c r="A36" s="33" t="inlineStr">
        <is>
          <t>Red text = needs a decision. See the 'Notes &amp; Flags' tab.</t>
        </is>
      </c>
    </row>
    <row r="38">
      <c r="A38" s="2" t="inlineStr">
        <is>
          <t>EXAMPLE: if Chia shows 3 packs/cycle and you have 1 on hand, Suggested = 2. Enter 2 (or your own number) in Order Qty.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54" customWidth="1" min="3" max="3"/>
    <col width="34" customWidth="1" min="4" max="4"/>
    <col width="50" customWidth="1" min="5" max="5"/>
  </cols>
  <sheetData>
    <row r="1">
      <c r="A1" s="1" t="inlineStr">
        <is>
          <t>Notes &amp; Flags — decisions needed before this guide is final</t>
        </is>
      </c>
    </row>
    <row r="3">
      <c r="A3" s="34" t="inlineStr">
        <is>
          <t>#</t>
        </is>
      </c>
      <c r="B3" s="34" t="inlineStr">
        <is>
          <t>Item</t>
        </is>
      </c>
      <c r="C3" s="34" t="inlineStr">
        <is>
          <t>Issue</t>
        </is>
      </c>
      <c r="D3" s="34" t="inlineStr">
        <is>
          <t>Impact</t>
        </is>
      </c>
      <c r="E3" s="34" t="inlineStr">
        <is>
          <t>What's needed</t>
        </is>
      </c>
    </row>
    <row r="4" ht="46" customHeight="1">
      <c r="A4" s="35" t="n">
        <v>1</v>
      </c>
      <c r="B4" s="36" t="inlineStr">
        <is>
          <t>Cocoa Powder</t>
        </is>
      </c>
      <c r="C4" s="37" t="inlineStr">
        <is>
          <t>Keto calls for 100 g cocoa powder. No SKU confirmed. Cacao nibs in order history are cafe-side (acai bowl) and won't pass the fine-mesh sift.</t>
        </is>
      </c>
      <c r="D4" s="37" t="inlineStr">
        <is>
          <t>Keto batch cannot be fully costed or ordered.</t>
        </is>
      </c>
      <c r="E4" s="37" t="inlineStr">
        <is>
          <t>Confirm a milled cocoa powder SKU. Margin Edge has 'Spice, Cocoa Powder' at $1.57/100 g.</t>
        </is>
      </c>
    </row>
    <row r="5" ht="46" customHeight="1">
      <c r="A5" s="35" t="n">
        <v>2</v>
      </c>
      <c r="B5" s="36" t="inlineStr">
        <is>
          <t>Bovine Colostrum</t>
        </is>
      </c>
      <c r="C5" s="37" t="inlineStr">
        <is>
          <t>Recipe 100 g vs 96 g jar — 4 g (4.2%) over forces a second jar and strands 92 g.</t>
        </is>
      </c>
      <c r="D5" s="37" t="inlineStr">
        <is>
          <t>$54.95 per Longevity batch.</t>
        </is>
      </c>
      <c r="E5" s="37" t="inlineStr">
        <is>
          <t>Decide: round the recipe to 96 g, or keep 100 g and accept 2 jars.</t>
        </is>
      </c>
    </row>
    <row r="6" ht="46" customHeight="1">
      <c r="A6" s="35" t="n">
        <v>3</v>
      </c>
      <c r="B6" s="36" t="inlineStr">
        <is>
          <t>Peanut Butter Powder</t>
        </is>
      </c>
      <c r="C6" s="37" t="inlineStr">
        <is>
          <t>Recipe 1,875 g vs 1,814 g bag — 61 g (3.4%) over forces a second bag.</t>
        </is>
      </c>
      <c r="D6" s="37" t="inlineStr">
        <is>
          <t>$28.41 per Keto batch, plus 1,753 g idle.</t>
        </is>
      </c>
      <c r="E6" s="37" t="inlineStr">
        <is>
          <t>Decide: round to 1,814 g (one clean bag) or keep 1,875 g.</t>
        </is>
      </c>
    </row>
    <row r="7" ht="46" customHeight="1">
      <c r="A7" s="35" t="n">
        <v>4</v>
      </c>
      <c r="B7" s="36" t="inlineStr">
        <is>
          <t>Flax Seed</t>
        </is>
      </c>
      <c r="C7" s="37" t="inlineStr">
        <is>
          <t>Slide says 35 g; Margin Edge says 135 g.</t>
        </is>
      </c>
      <c r="D7" s="37" t="inlineStr">
        <is>
          <t>Being Brigid batch weight and cost.</t>
        </is>
      </c>
      <c r="E7" s="37" t="inlineStr">
        <is>
          <t>Confirm the correct quantity. This guide uses 35 g.</t>
        </is>
      </c>
    </row>
    <row r="8" ht="46" customHeight="1">
      <c r="A8" s="35" t="n">
        <v>5</v>
      </c>
      <c r="B8" s="36" t="inlineStr">
        <is>
          <t>BHB Ketones</t>
        </is>
      </c>
      <c r="C8" s="37" t="inlineStr">
        <is>
          <t>Slide says Base Ketones; Margin Edge uses Perfect Keto NOOTROPIC Brain Support.</t>
        </is>
      </c>
      <c r="D8" s="37" t="inlineStr">
        <is>
          <t>Different product at similar price.</t>
        </is>
      </c>
      <c r="E8" s="37" t="inlineStr">
        <is>
          <t>Confirm which product Keto actually uses.</t>
        </is>
      </c>
    </row>
    <row r="9" ht="46" customHeight="1">
      <c r="A9" s="35" t="n">
        <v>6</v>
      </c>
      <c r="B9" s="36" t="inlineStr">
        <is>
          <t>Creatine</t>
        </is>
      </c>
      <c r="C9" s="37" t="inlineStr">
        <is>
          <t>Slides say "liposomal creatine"; the product is micronized creatine MONOHYDRATE.</t>
        </is>
      </c>
      <c r="D9" s="37" t="inlineStr">
        <is>
          <t>Wording only, if monohydrate is intended.</t>
        </is>
      </c>
      <c r="E9" s="37" t="inlineStr">
        <is>
          <t>Reword the slides, or source an actual liposomal product.</t>
        </is>
      </c>
    </row>
    <row r="10" ht="46" customHeight="1">
      <c r="A10" s="35" t="n">
        <v>7</v>
      </c>
      <c r="B10" s="36" t="inlineStr">
        <is>
          <t>Matcha</t>
        </is>
      </c>
      <c r="C10" s="37" t="inlineStr">
        <is>
          <t>This guide uses Sante Ceremonial at $0.297/g. Margin Edge uses a generic matcha at $0.047/g.</t>
        </is>
      </c>
      <c r="D10" s="37" t="inlineStr">
        <is>
          <t>~$13.50 per Being Brigid batch; 6x price difference.</t>
        </is>
      </c>
      <c r="E10" s="37" t="inlineStr">
        <is>
          <t>Confirm whether Being Brigid uses Sante or the generic.</t>
        </is>
      </c>
    </row>
    <row r="11" ht="46" customHeight="1">
      <c r="A11" s="35" t="n">
        <v>8</v>
      </c>
      <c r="B11" s="36" t="inlineStr">
        <is>
          <t>Chocolate Collagen</t>
        </is>
      </c>
      <c r="C11" s="37" t="inlineStr">
        <is>
          <t>Amazon Orgain is a 400 g pack at $2.00/oz. Margin Edge carries a 19.3 oz pack: $2.94/oz at Columbus, $1.40/oz at Cleveland.</t>
        </is>
      </c>
      <c r="D11" s="37" t="inlineStr">
        <is>
          <t>Up to $163 per Longevity batch between locations.</t>
        </is>
      </c>
      <c r="E11" s="37" t="inlineStr">
        <is>
          <t>Confirm which pack is actually bought, and why Columbus pays 2.1x Cleveland.</t>
        </is>
      </c>
    </row>
    <row r="12" ht="46" customHeight="1">
      <c r="A12" s="35" t="n">
        <v>9</v>
      </c>
      <c r="B12" s="36" t="inlineStr">
        <is>
          <t>Chia Seeds</t>
        </is>
      </c>
      <c r="C12" s="37" t="inlineStr">
        <is>
          <t>Amazon is $0.44/oz. Margin Edge shows $0.18/oz, bought regularly through 9/8/2026.</t>
        </is>
      </c>
      <c r="D12" s="37" t="inlineStr">
        <is>
          <t>This guide may overstate chia by ~2.4x.</t>
        </is>
      </c>
      <c r="E12" s="37" t="inlineStr">
        <is>
          <t>Confirm whether chia comes from Amazon or a foodservice vendor.</t>
        </is>
      </c>
    </row>
    <row r="13" ht="46" customHeight="1">
      <c r="A13" s="35" t="n">
        <v>10</v>
      </c>
      <c r="B13" s="36" t="inlineStr">
        <is>
          <t>Two locations</t>
        </is>
      </c>
      <c r="C13" s="37" t="inlineStr">
        <is>
          <t>Columbus and Cleveland both run this prep. This sheet is ONE location.</t>
        </is>
      </c>
      <c r="D13" s="37" t="inlineStr">
        <is>
          <t>Doubling gives ~2x cost, but several packs carry 10-46 batches of runway.</t>
        </is>
      </c>
      <c r="E13" s="37" t="inlineStr">
        <is>
          <t>Decide split vs duplicate: order per site for fast movers; order once and split for 4+ batch runway items.</t>
        </is>
      </c>
    </row>
    <row r="14" ht="46" customHeight="1">
      <c r="A14" s="35" t="n">
        <v>11</v>
      </c>
      <c r="B14" s="36" t="inlineStr">
        <is>
          <t>Batch frequency</t>
        </is>
      </c>
      <c r="C14" s="37" t="inlineStr">
        <is>
          <t>Unknown.</t>
        </is>
      </c>
      <c r="D14" s="37" t="inlineStr">
        <is>
          <t>Cannot convert per-cycle quantities into a reorder cadence or par levels.</t>
        </is>
      </c>
      <c r="E14" s="37" t="inlineStr">
        <is>
          <t>Provide how often each batch is run, per location.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16" customWidth="1" min="3" max="3"/>
    <col width="12" customWidth="1" min="4" max="4"/>
    <col width="58" customWidth="1" min="5" max="5"/>
  </cols>
  <sheetData>
    <row r="1">
      <c r="A1" s="1" t="inlineStr">
        <is>
          <t>Other Categories — products identified, recipes not yet provided</t>
        </is>
      </c>
    </row>
    <row r="2">
      <c r="A2" s="2" t="inlineStr">
        <is>
          <t>These are NOT part of the smoothie powder prep. They need their recipes before order quantities can be calculated.</t>
        </is>
      </c>
    </row>
    <row r="4">
      <c r="A4" s="34" t="inlineStr">
        <is>
          <t>Category</t>
        </is>
      </c>
      <c r="B4" s="34" t="inlineStr">
        <is>
          <t>Product</t>
        </is>
      </c>
      <c r="C4" s="34" t="inlineStr">
        <is>
          <t>Pack Size</t>
        </is>
      </c>
      <c r="D4" s="34" t="inlineStr">
        <is>
          <t>Price</t>
        </is>
      </c>
      <c r="E4" s="34" t="inlineStr">
        <is>
          <t>Used In / Note</t>
        </is>
      </c>
    </row>
    <row r="5">
      <c r="A5" s="4" t="inlineStr">
        <is>
          <t>Cafe</t>
        </is>
      </c>
      <c r="B5" s="4" t="inlineStr">
        <is>
          <t>Anthony's Organic Cacao Cocoa Nibs, Criollo, 2 lb</t>
        </is>
      </c>
      <c r="C5" s="4" t="inlineStr">
        <is>
          <t>907 g</t>
        </is>
      </c>
      <c r="D5" s="15" t="n">
        <v>34.99</v>
      </c>
      <c r="E5" s="38" t="inlineStr">
        <is>
          <t>Acai bowl. Cheaper per gram than Viva ($0.0386 vs $0.0427).</t>
        </is>
      </c>
    </row>
    <row r="6">
      <c r="A6" s="4" t="inlineStr">
        <is>
          <t>Cafe</t>
        </is>
      </c>
      <c r="B6" s="4" t="inlineStr">
        <is>
          <t>Viva Naturals Organic Cacao Nibs, unsweetened, 1 lb</t>
        </is>
      </c>
      <c r="C6" s="4" t="inlineStr">
        <is>
          <t>454 g</t>
        </is>
      </c>
      <c r="D6" s="15" t="n">
        <v>19.39</v>
      </c>
      <c r="E6" s="38" t="inlineStr">
        <is>
          <t>Acai bowl. Second nib SKU — confirm both are needed.</t>
        </is>
      </c>
    </row>
    <row r="7">
      <c r="A7" s="4" t="inlineStr">
        <is>
          <t>Smoothie Liquid Mix</t>
        </is>
      </c>
      <c r="B7" s="4" t="inlineStr">
        <is>
          <t>Nature's Greatest Organic Coconut Cream, no guar gum</t>
        </is>
      </c>
      <c r="C7" s="4" t="inlineStr">
        <is>
          <t>12 x 13.5 fl oz</t>
        </is>
      </c>
      <c r="D7" s="15" t="n">
        <v>45.44</v>
      </c>
      <c r="E7" s="38" t="inlineStr">
        <is>
          <t>CONFIRMED in Margin Edge: Being Brigid Liquid Mix.</t>
        </is>
      </c>
    </row>
    <row r="8">
      <c r="A8" s="4" t="inlineStr">
        <is>
          <t>Smoothie Liquid Mix</t>
        </is>
      </c>
      <c r="B8" s="4" t="inlineStr">
        <is>
          <t>Mooala Organic Simple Almond Milk, unsweetened</t>
        </is>
      </c>
      <c r="C8" s="4" t="inlineStr">
        <is>
          <t>6 x 32 oz</t>
        </is>
      </c>
      <c r="D8" s="15" t="n">
        <v>36.99</v>
      </c>
      <c r="E8" s="38" t="inlineStr">
        <is>
          <t>Liquid Mix component (per Margin Edge structure).</t>
        </is>
      </c>
    </row>
    <row r="9">
      <c r="A9" s="4" t="inlineStr">
        <is>
          <t>Smoothie Liquid Mix</t>
        </is>
      </c>
      <c r="B9" s="4" t="inlineStr">
        <is>
          <t>JOI Instant Oat Milk Creamer Pouch</t>
        </is>
      </c>
      <c r="C9" s="4" t="inlineStr">
        <is>
          <t>32 servings</t>
        </is>
      </c>
      <c r="D9" s="15" t="n">
        <v>30.56</v>
      </c>
      <c r="E9" s="38" t="inlineStr">
        <is>
          <t>Liquid Mix component.</t>
        </is>
      </c>
    </row>
    <row r="10">
      <c r="A10" s="4" t="inlineStr">
        <is>
          <t>Smoothie Liquid Mix</t>
        </is>
      </c>
      <c r="B10" s="4" t="inlineStr">
        <is>
          <t>Nature's Way Organic MCT Oil</t>
        </is>
      </c>
      <c r="C10" s="4" t="inlineStr">
        <is>
          <t>30 fl oz</t>
        </is>
      </c>
      <c r="D10" s="15" t="n">
        <v>20.17</v>
      </c>
      <c r="E10" s="38" t="inlineStr">
        <is>
          <t>Liquid Mix component.</t>
        </is>
      </c>
    </row>
    <row r="11">
      <c r="A11" s="4" t="inlineStr">
        <is>
          <t>Smoothie Liquid Mix</t>
        </is>
      </c>
      <c r="B11" s="4" t="inlineStr">
        <is>
          <t>Equip Foods Prime Protein, Vanilla (grass-fed beef)</t>
        </is>
      </c>
      <c r="C11" s="4" t="inlineStr">
        <is>
          <t>30 servings</t>
        </is>
      </c>
      <c r="D11" s="15" t="n">
        <v>64.63</v>
      </c>
      <c r="E11" s="38" t="inlineStr">
        <is>
          <t>Liquid Mix component.</t>
        </is>
      </c>
    </row>
    <row r="12">
      <c r="A12" s="4" t="inlineStr">
        <is>
          <t>Cocktail / Bar</t>
        </is>
      </c>
      <c r="B12" s="4" t="inlineStr">
        <is>
          <t>Blue Green Organics Raw Blue Agave Syrup</t>
        </is>
      </c>
      <c r="C12" s="4" t="inlineStr">
        <is>
          <t>176 oz</t>
        </is>
      </c>
      <c r="D12" s="15" t="n">
        <v>45.59</v>
      </c>
      <c r="E12" s="38" t="inlineStr">
        <is>
          <t>Awaiting cocktail recipes.</t>
        </is>
      </c>
    </row>
    <row r="13">
      <c r="A13" s="4" t="inlineStr">
        <is>
          <t>Cocktail / Bar</t>
        </is>
      </c>
      <c r="B13" s="4" t="inlineStr">
        <is>
          <t>Simply Organic Vanilla Bean Paste</t>
        </is>
      </c>
      <c r="C13" s="4" t="inlineStr">
        <is>
          <t>4 oz jar</t>
        </is>
      </c>
      <c r="D13" s="15" t="n">
        <v>17.89</v>
      </c>
      <c r="E13" s="38" t="inlineStr">
        <is>
          <t>Qty 10 ordered — likely a batched syrup component.</t>
        </is>
      </c>
    </row>
    <row r="14">
      <c r="A14" s="4" t="inlineStr">
        <is>
          <t>Cocktail / Bar</t>
        </is>
      </c>
      <c r="B14" s="4" t="inlineStr">
        <is>
          <t>Bhakti Chai Tea Concentrate, Unsweetened</t>
        </is>
      </c>
      <c r="C14" s="4" t="inlineStr">
        <is>
          <t>2-pack, 16 srv</t>
        </is>
      </c>
      <c r="D14" s="15" t="n">
        <v>19.99</v>
      </c>
      <c r="E14" s="38" t="inlineStr">
        <is>
          <t>Two chai formats in rotation — confirm both are needed.</t>
        </is>
      </c>
    </row>
    <row r="15">
      <c r="A15" s="4" t="inlineStr">
        <is>
          <t>Cocktail / Bar</t>
        </is>
      </c>
      <c r="B15" s="4" t="inlineStr">
        <is>
          <t>Davidson's Tea Bulk, Classic Chai</t>
        </is>
      </c>
      <c r="C15" s="4" t="inlineStr">
        <is>
          <t>16 oz</t>
        </is>
      </c>
      <c r="D15" s="15" t="n">
        <v>19.12</v>
      </c>
      <c r="E15" s="38" t="inlineStr">
        <is>
          <t>Loose leaf, not concentrate.</t>
        </is>
      </c>
    </row>
    <row r="16">
      <c r="A16" s="4" t="inlineStr">
        <is>
          <t>Cocktail / Bar</t>
        </is>
      </c>
      <c r="B16" s="4" t="inlineStr">
        <is>
          <t>Organic Hibiscus Flowers, cut &amp; sifted</t>
        </is>
      </c>
      <c r="C16" s="4" t="inlineStr">
        <is>
          <t>2 lb</t>
        </is>
      </c>
      <c r="D16" s="15" t="n">
        <v>27.51</v>
      </c>
      <c r="E16" s="38" t="inlineStr">
        <is>
          <t>Awaiting recipe.</t>
        </is>
      </c>
    </row>
    <row r="17">
      <c r="A17" s="4" t="inlineStr">
        <is>
          <t>Cocktail / Bar</t>
        </is>
      </c>
      <c r="B17" s="4" t="inlineStr">
        <is>
          <t>Frontier Co-op Organic Whole Star Anise</t>
        </is>
      </c>
      <c r="C17" s="4" t="inlineStr">
        <is>
          <t>1 lb</t>
        </is>
      </c>
      <c r="D17" s="15" t="n">
        <v>33.52</v>
      </c>
      <c r="E17" s="38" t="inlineStr">
        <is>
          <t>Awaiting recipe.</t>
        </is>
      </c>
    </row>
    <row r="18">
      <c r="A18" s="4" t="inlineStr">
        <is>
          <t>Cocktail / Bar</t>
        </is>
      </c>
      <c r="B18" s="4" t="inlineStr">
        <is>
          <t>Frontier Organic Pumpkin Pie Spice</t>
        </is>
      </c>
      <c r="C18" s="4" t="inlineStr">
        <is>
          <t>16 oz</t>
        </is>
      </c>
      <c r="D18" s="15" t="n">
        <v>13.12</v>
      </c>
      <c r="E18" s="38" t="inlineStr">
        <is>
          <t>NOT the Longevity cinnamon — that's a blend.</t>
        </is>
      </c>
    </row>
    <row r="19">
      <c r="A19" s="4" t="inlineStr">
        <is>
          <t>Unassigned</t>
        </is>
      </c>
      <c r="B19" s="4" t="inlineStr">
        <is>
          <t>Yupik Organic Raw Pecans</t>
        </is>
      </c>
      <c r="C19" s="4" t="inlineStr">
        <is>
          <t>2.2 lb</t>
        </is>
      </c>
      <c r="D19" s="15" t="n">
        <v>39.93</v>
      </c>
      <c r="E19" s="38" t="inlineStr">
        <is>
          <t>No recipe yet.</t>
        </is>
      </c>
    </row>
    <row r="20">
      <c r="A20" s="4" t="inlineStr">
        <is>
          <t>Unassigned</t>
        </is>
      </c>
      <c r="B20" s="4" t="inlineStr">
        <is>
          <t>MADHAVA Organic Coconut Sugar</t>
        </is>
      </c>
      <c r="C20" s="4" t="inlineStr">
        <is>
          <t>6 x 1 lb</t>
        </is>
      </c>
      <c r="D20" s="15" t="n">
        <v>14.26</v>
      </c>
      <c r="E20" s="38" t="inlineStr">
        <is>
          <t>Verify whether price is per-pack or per-unit.</t>
        </is>
      </c>
    </row>
    <row r="21">
      <c r="A21" s="4" t="inlineStr">
        <is>
          <t>Unassigned</t>
        </is>
      </c>
      <c r="B21" s="4" t="inlineStr">
        <is>
          <t>Annie's Organic Honey Graham Crackers</t>
        </is>
      </c>
      <c r="C21" s="4" t="inlineStr">
        <is>
          <t>14.4 oz</t>
        </is>
      </c>
      <c r="D21" s="15" t="n">
        <v>5</v>
      </c>
      <c r="E21" s="38" t="inlineStr">
        <is>
          <t>No recipe yet.</t>
        </is>
      </c>
    </row>
    <row r="22">
      <c r="A22" s="4" t="inlineStr">
        <is>
          <t>Unassigned</t>
        </is>
      </c>
      <c r="B22" s="4" t="inlineStr">
        <is>
          <t>Lakanto Peanut Butter Powder, monk-fruit sweetened</t>
        </is>
      </c>
      <c r="C22" s="4" t="inlineStr">
        <is>
          <t>8.5 oz</t>
        </is>
      </c>
      <c r="D22" s="15" t="n">
        <v>13.36</v>
      </c>
      <c r="E22" s="38" t="inlineStr">
        <is>
          <t>NOT the smoothie PB powder. Keep separate from prep stock.</t>
        </is>
      </c>
    </row>
    <row r="23">
      <c r="A23" s="4" t="inlineStr">
        <is>
          <t>Unassigned</t>
        </is>
      </c>
      <c r="B23" s="4" t="inlineStr">
        <is>
          <t>Orgain Hydrolyzed Collagen Peptides, Unflavored</t>
        </is>
      </c>
      <c r="C23" s="4" t="inlineStr">
        <is>
          <t>454 g</t>
        </is>
      </c>
      <c r="D23" s="15" t="n">
        <v>21.12</v>
      </c>
      <c r="E23" s="38" t="inlineStr">
        <is>
          <t>Bought 9/21 but not in any powder prep recipe.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2026-09-29T02:28:46Z</dcterms:created>
  <dcterms:modified xsi:type="dcterms:W3CDTF">2026-09-29T02:28:46Z</dcterms:modified>
</cp:coreProperties>
</file>