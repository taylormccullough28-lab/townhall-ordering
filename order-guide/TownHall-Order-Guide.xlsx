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Usage" sheetId="1" state="visible" r:id="rId1"/>
    <sheet name="Order Guide" sheetId="2" state="visible" r:id="rId2"/>
    <sheet name="Notes &amp; Flags" sheetId="3" state="visible" r:id="rId3"/>
    <sheet name="Bar Prep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$0.0000"/>
  </numFmts>
  <fonts count="1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C00000"/>
      <sz val="9"/>
    </font>
    <font>
      <name val="Arial"/>
      <b val="1"/>
      <color rgb="001F3864"/>
      <sz val="14"/>
    </font>
    <font>
      <name val="Arial"/>
      <b val="1"/>
      <color rgb="00C00000"/>
      <sz val="9"/>
    </font>
    <font>
      <name val="Arial"/>
      <b val="1"/>
      <color rgb="001F3864"/>
      <sz val="10"/>
    </font>
    <font>
      <name val="Arial"/>
      <color rgb="00008000"/>
      <sz val="10"/>
    </font>
    <font>
      <name val="Arial"/>
      <color rgb="00595959"/>
      <sz val="9"/>
    </font>
    <font>
      <name val="Arial"/>
      <color rgb="00C00000"/>
      <sz val="10"/>
    </font>
    <font>
      <name val="Arial"/>
      <i val="1"/>
      <color rgb="00808080"/>
      <sz val="9"/>
    </font>
    <font>
      <name val="Arial"/>
      <b val="1"/>
      <sz val="11"/>
    </font>
    <font>
      <name val="Arial"/>
      <i val="1"/>
      <color rgb="00808080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6" fillId="3" borderId="1" pivotButton="0" quotePrefix="0" xfId="0"/>
    <xf numFmtId="3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165" fontId="4" fillId="0" borderId="1" pivotButton="0" quotePrefix="0" xfId="0"/>
    <xf numFmtId="3" fontId="11" fillId="0" borderId="1" pivotButton="0" quotePrefix="0" xfId="0"/>
    <xf numFmtId="3" fontId="4" fillId="0" borderId="1" pivotButton="0" quotePrefix="0" xfId="0"/>
    <xf numFmtId="3" fontId="5" fillId="5" borderId="1" pivotButton="0" quotePrefix="0" xfId="0"/>
    <xf numFmtId="164" fontId="4" fillId="0" borderId="1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0" borderId="1" pivotButton="0" quotePrefix="0" xfId="0"/>
    <xf numFmtId="0" fontId="0" fillId="0" borderId="1" pivotButton="0" quotePrefix="0" xfId="0"/>
    <xf numFmtId="0" fontId="14" fillId="0" borderId="1" applyAlignment="1" pivotButton="0" quotePrefix="0" xfId="0">
      <alignment horizontal="center"/>
    </xf>
    <xf numFmtId="0" fontId="15" fillId="3" borderId="1" pivotButton="0" quotePrefix="0" xfId="0"/>
    <xf numFmtId="0" fontId="0" fillId="3" borderId="1" pivotButton="0" quotePrefix="0" xfId="0"/>
    <xf numFmtId="164" fontId="15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1" fontId="4" fillId="0" borderId="1" pivotButton="0" quotePrefix="0" xfId="0"/>
    <xf numFmtId="0" fontId="4" fillId="0" borderId="1" applyAlignment="1" pivotButton="0" quotePrefix="0" xfId="0">
      <alignment horizontal="center"/>
    </xf>
    <xf numFmtId="0" fontId="1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Recipe Usage — grams per ingredient per batch</t>
        </is>
      </c>
    </row>
    <row r="2">
      <c r="A2" s="2" t="inlineStr">
        <is>
          <t>One 'cycle' = one batch of each of the four powder mixes, at ONE location. Columbus and Cleveland both run this prep.</t>
        </is>
      </c>
    </row>
    <row r="4">
      <c r="A4" s="3" t="inlineStr">
        <is>
          <t>Ingredient</t>
        </is>
      </c>
      <c r="B4" s="3" t="inlineStr">
        <is>
          <t>Strawberry Skin Renewal</t>
        </is>
      </c>
      <c r="C4" s="3" t="inlineStr">
        <is>
          <t>Longevity</t>
        </is>
      </c>
      <c r="D4" s="3" t="inlineStr">
        <is>
          <t>Being Brigid 2.0</t>
        </is>
      </c>
      <c r="E4" s="3" t="inlineStr">
        <is>
          <t>Keto Powerhouse 2.0</t>
        </is>
      </c>
      <c r="F4" s="3" t="inlineStr">
        <is>
          <t>Total per cycle</t>
        </is>
      </c>
    </row>
    <row r="5">
      <c r="A5" s="4" t="inlineStr">
        <is>
          <t>Collagen Peptides Protein, Chocolate</t>
        </is>
      </c>
      <c r="B5" s="5" t="n"/>
      <c r="C5" s="5" t="n">
        <v>3000</v>
      </c>
      <c r="D5" s="5" t="n"/>
      <c r="E5" s="5" t="n">
        <v>450</v>
      </c>
      <c r="F5" s="6">
        <f>SUM(B5:E5)</f>
        <v/>
      </c>
    </row>
    <row r="6">
      <c r="A6" s="4" t="inlineStr">
        <is>
          <t>Collagen Peptides Protein, Vanilla</t>
        </is>
      </c>
      <c r="B6" s="5" t="n">
        <v>400</v>
      </c>
      <c r="C6" s="5" t="n"/>
      <c r="D6" s="5" t="n">
        <v>900</v>
      </c>
      <c r="E6" s="5" t="n"/>
      <c r="F6" s="6">
        <f>SUM(B6:E6)</f>
        <v/>
      </c>
    </row>
    <row r="7">
      <c r="A7" s="4" t="inlineStr">
        <is>
          <t>Creatine</t>
        </is>
      </c>
      <c r="B7" s="5" t="n">
        <v>500</v>
      </c>
      <c r="C7" s="5" t="n">
        <v>250</v>
      </c>
      <c r="D7" s="5" t="n"/>
      <c r="E7" s="5" t="n"/>
      <c r="F7" s="6">
        <f>SUM(B7:E7)</f>
        <v/>
      </c>
    </row>
    <row r="8">
      <c r="A8" s="4" t="inlineStr">
        <is>
          <t>BHB Ketone Powder, Chocolate</t>
        </is>
      </c>
      <c r="B8" s="5" t="n"/>
      <c r="C8" s="5" t="n"/>
      <c r="D8" s="5" t="n"/>
      <c r="E8" s="5" t="n">
        <v>75</v>
      </c>
      <c r="F8" s="6">
        <f>SUM(B8:E8)</f>
        <v/>
      </c>
    </row>
    <row r="9">
      <c r="A9" s="4" t="inlineStr">
        <is>
          <t>Pitaya / Dragon Fruit Powder</t>
        </is>
      </c>
      <c r="B9" s="5" t="n">
        <v>1000</v>
      </c>
      <c r="C9" s="5" t="n"/>
      <c r="D9" s="5" t="n"/>
      <c r="E9" s="5" t="n"/>
      <c r="F9" s="6">
        <f>SUM(B9:E9)</f>
        <v/>
      </c>
    </row>
    <row r="10">
      <c r="A10" s="4" t="inlineStr">
        <is>
          <t>Peanut Butter Powder</t>
        </is>
      </c>
      <c r="B10" s="5" t="n"/>
      <c r="C10" s="5" t="n"/>
      <c r="D10" s="5" t="n"/>
      <c r="E10" s="5" t="n">
        <v>1875</v>
      </c>
      <c r="F10" s="6">
        <f>SUM(B10:E10)</f>
        <v/>
      </c>
    </row>
    <row r="11">
      <c r="A11" s="4" t="inlineStr">
        <is>
          <t>Monkfruit Sugar, Powdered</t>
        </is>
      </c>
      <c r="B11" s="5" t="n"/>
      <c r="C11" s="5" t="n"/>
      <c r="D11" s="5" t="n"/>
      <c r="E11" s="5" t="n">
        <v>750</v>
      </c>
      <c r="F11" s="6">
        <f>SUM(B11:E11)</f>
        <v/>
      </c>
    </row>
    <row r="12">
      <c r="A12" s="4" t="inlineStr">
        <is>
          <t>Hyaluronic Acid Powder</t>
        </is>
      </c>
      <c r="B12" s="5" t="n">
        <v>200</v>
      </c>
      <c r="C12" s="5" t="n"/>
      <c r="D12" s="5" t="n"/>
      <c r="E12" s="5" t="n"/>
      <c r="F12" s="6">
        <f>SUM(B12:E12)</f>
        <v/>
      </c>
    </row>
    <row r="13">
      <c r="A13" s="4" t="inlineStr">
        <is>
          <t>Maca Root Powder</t>
        </is>
      </c>
      <c r="B13" s="5" t="n"/>
      <c r="C13" s="5" t="n"/>
      <c r="D13" s="5" t="n">
        <v>90</v>
      </c>
      <c r="E13" s="5" t="n"/>
      <c r="F13" s="6">
        <f>SUM(B13:E13)</f>
        <v/>
      </c>
    </row>
    <row r="14">
      <c r="A14" s="4" t="inlineStr">
        <is>
          <t>Raw Mesquite Powder</t>
        </is>
      </c>
      <c r="B14" s="5" t="n"/>
      <c r="C14" s="5" t="n"/>
      <c r="D14" s="5" t="n">
        <v>104</v>
      </c>
      <c r="E14" s="5" t="n"/>
      <c r="F14" s="6">
        <f>SUM(B14:E14)</f>
        <v/>
      </c>
    </row>
    <row r="15">
      <c r="A15" s="4" t="inlineStr">
        <is>
          <t>Chia Seeds</t>
        </is>
      </c>
      <c r="B15" s="5" t="n">
        <v>1200</v>
      </c>
      <c r="C15" s="5" t="n"/>
      <c r="D15" s="5" t="n">
        <v>270</v>
      </c>
      <c r="E15" s="5" t="n">
        <v>600</v>
      </c>
      <c r="F15" s="6">
        <f>SUM(B15:E15)</f>
        <v/>
      </c>
    </row>
    <row r="16">
      <c r="A16" s="4" t="inlineStr">
        <is>
          <t>Sea Moss Powder</t>
        </is>
      </c>
      <c r="B16" s="5" t="n">
        <v>14</v>
      </c>
      <c r="C16" s="5" t="n"/>
      <c r="D16" s="5" t="n"/>
      <c r="E16" s="5" t="n"/>
      <c r="F16" s="6">
        <f>SUM(B16:E16)</f>
        <v/>
      </c>
    </row>
    <row r="17">
      <c r="A17" s="4" t="inlineStr">
        <is>
          <t>Bovine Colostrum</t>
        </is>
      </c>
      <c r="B17" s="5" t="n"/>
      <c r="C17" s="5" t="n">
        <v>100</v>
      </c>
      <c r="D17" s="5" t="n"/>
      <c r="E17" s="5" t="n"/>
      <c r="F17" s="6">
        <f>SUM(B17:E17)</f>
        <v/>
      </c>
    </row>
    <row r="18">
      <c r="A18" s="4" t="inlineStr">
        <is>
          <t>Greens w/ PerfectAmino</t>
        </is>
      </c>
      <c r="B18" s="5" t="n"/>
      <c r="C18" s="5" t="n"/>
      <c r="D18" s="5" t="n">
        <v>90</v>
      </c>
      <c r="E18" s="5" t="n"/>
      <c r="F18" s="6">
        <f>SUM(B18:E18)</f>
        <v/>
      </c>
    </row>
    <row r="19">
      <c r="A19" s="4" t="inlineStr">
        <is>
          <t>Flax Seed, Ground</t>
        </is>
      </c>
      <c r="B19" s="5" t="n"/>
      <c r="C19" s="5" t="n"/>
      <c r="D19" s="5" t="n">
        <v>35</v>
      </c>
      <c r="E19" s="5" t="n"/>
      <c r="F19" s="6">
        <f>SUM(B19:E19)</f>
        <v/>
      </c>
    </row>
    <row r="20">
      <c r="A20" s="4" t="inlineStr">
        <is>
          <t>Blue Spirulina</t>
        </is>
      </c>
      <c r="B20" s="5" t="n"/>
      <c r="C20" s="5" t="n">
        <v>300</v>
      </c>
      <c r="D20" s="5" t="n"/>
      <c r="E20" s="5" t="n"/>
      <c r="F20" s="6">
        <f>SUM(B20:E20)</f>
        <v/>
      </c>
    </row>
    <row r="21">
      <c r="A21" s="4" t="inlineStr">
        <is>
          <t>Cocoa Powder</t>
        </is>
      </c>
      <c r="B21" s="5" t="n"/>
      <c r="C21" s="5" t="n"/>
      <c r="D21" s="5" t="n"/>
      <c r="E21" s="5" t="n">
        <v>100</v>
      </c>
      <c r="F21" s="6">
        <f>SUM(B21:E21)</f>
        <v/>
      </c>
    </row>
    <row r="22">
      <c r="A22" s="4" t="inlineStr">
        <is>
          <t>Allulose Powder</t>
        </is>
      </c>
      <c r="B22" s="5" t="n"/>
      <c r="C22" s="5" t="n"/>
      <c r="D22" s="5" t="n">
        <v>1800</v>
      </c>
      <c r="E22" s="5" t="n"/>
      <c r="F22" s="6">
        <f>SUM(B22:E22)</f>
        <v/>
      </c>
    </row>
    <row r="23">
      <c r="A23" s="4" t="inlineStr">
        <is>
          <t>Matcha</t>
        </is>
      </c>
      <c r="B23" s="5" t="n"/>
      <c r="C23" s="5" t="n"/>
      <c r="D23" s="5" t="n">
        <v>54</v>
      </c>
      <c r="E23" s="5" t="n"/>
      <c r="F23" s="6">
        <f>SUM(B23:E23)</f>
        <v/>
      </c>
    </row>
    <row r="24">
      <c r="A24" s="4" t="inlineStr">
        <is>
          <t>Cinnamon, Ground</t>
        </is>
      </c>
      <c r="B24" s="5" t="n"/>
      <c r="C24" s="5" t="n">
        <v>50</v>
      </c>
      <c r="D24" s="5" t="n"/>
      <c r="E24" s="5" t="n"/>
      <c r="F24" s="6">
        <f>SUM(B24:E24)</f>
        <v/>
      </c>
    </row>
    <row r="25">
      <c r="A25" s="7" t="inlineStr">
        <is>
          <t>BATCH TOTAL (g)</t>
        </is>
      </c>
      <c r="B25" s="8">
        <f>SUM(B5:B24)</f>
        <v/>
      </c>
      <c r="C25" s="8">
        <f>SUM(C5:C24)</f>
        <v/>
      </c>
      <c r="D25" s="8">
        <f>SUM(D5:D24)</f>
        <v/>
      </c>
      <c r="E25" s="8">
        <f>SUM(E5:E24)</f>
        <v/>
      </c>
      <c r="F25" s="8">
        <f>SUM(F5:F24)</f>
        <v/>
      </c>
    </row>
    <row r="27">
      <c r="A27" s="2" t="inlineStr">
        <is>
          <t>Quantities are from the Powder Prep (Pt. 3) slides dated 9/22/2026.</t>
        </is>
      </c>
    </row>
    <row r="28">
      <c r="A28" s="9" t="inlineStr">
        <is>
          <t>FLAG: Margin Edge lists Being Brigid flax at 135 g, not 35 g. Slide value used here. See 'Notes &amp; Flags'.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6" customWidth="1" min="3" max="3"/>
    <col width="14" customWidth="1" min="4" max="4"/>
    <col width="12" customWidth="1" min="5" max="5"/>
    <col width="10" customWidth="1" min="6" max="6"/>
    <col width="14" customWidth="1" min="7" max="7"/>
    <col width="11" customWidth="1" min="8" max="8"/>
    <col width="13" customWidth="1" min="9" max="9"/>
    <col width="11" customWidth="1" min="10" max="10"/>
    <col width="11" customWidth="1" min="11" max="11"/>
    <col width="12" customWidth="1" min="12" max="12"/>
    <col width="46" customWidth="1" min="13" max="13"/>
  </cols>
  <sheetData>
    <row r="1">
      <c r="A1" s="10" t="inlineStr">
        <is>
          <t>TownHall — Order Guide</t>
        </is>
      </c>
    </row>
    <row r="2">
      <c r="A2" s="2" t="inlineStr">
        <is>
          <t>Per location, per cycle. Columbus and Cleveland both run this prep — order for each site.</t>
        </is>
      </c>
    </row>
    <row r="3">
      <c r="A3" s="11" t="inlineStr">
        <is>
          <t>FILL IN THE YELLOW CELLS: On Hand, then Order Qty. Everything else calculates.</t>
        </is>
      </c>
    </row>
    <row r="5">
      <c r="A5" s="3" t="inlineStr">
        <is>
          <t>Ingredient</t>
        </is>
      </c>
      <c r="B5" s="3" t="inlineStr">
        <is>
          <t>Product / SKU</t>
        </is>
      </c>
      <c r="C5" s="3" t="inlineStr">
        <is>
          <t>Vendor</t>
        </is>
      </c>
      <c r="D5" s="3" t="inlineStr">
        <is>
          <t>Pack Size</t>
        </is>
      </c>
      <c r="E5" s="3" t="inlineStr">
        <is>
          <t>Pack Price</t>
        </is>
      </c>
      <c r="F5" s="3" t="inlineStr">
        <is>
          <t>$ / g</t>
        </is>
      </c>
      <c r="G5" s="3" t="inlineStr">
        <is>
          <t>Need /cycle (g)</t>
        </is>
      </c>
      <c r="H5" s="3" t="inlineStr">
        <is>
          <t>Packs /cycle</t>
        </is>
      </c>
      <c r="I5" s="3" t="inlineStr">
        <is>
          <t>On Hand (packs)</t>
        </is>
      </c>
      <c r="J5" s="3" t="inlineStr">
        <is>
          <t>Suggested</t>
        </is>
      </c>
      <c r="K5" s="3" t="inlineStr">
        <is>
          <t>Order Qty</t>
        </is>
      </c>
      <c r="L5" s="3" t="inlineStr">
        <is>
          <t>Ext. Cost</t>
        </is>
      </c>
      <c r="M5" s="3" t="inlineStr">
        <is>
          <t>Notes</t>
        </is>
      </c>
    </row>
    <row r="6">
      <c r="A6" s="12" t="inlineStr">
        <is>
          <t>SMOOTHIE POWDER PREP — AMAZON BUSINESS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4" t="inlineStr">
        <is>
          <t>Collagen Peptides Protein, Chocolate</t>
        </is>
      </c>
      <c r="B7" s="4" t="inlineStr">
        <is>
          <t>Orgain Keto Collagen Protein Powder, Chocolate (14.1 oz)</t>
        </is>
      </c>
      <c r="C7" s="4" t="inlineStr">
        <is>
          <t>Amazon</t>
        </is>
      </c>
      <c r="D7" s="14" t="inlineStr">
        <is>
          <t>400 g</t>
        </is>
      </c>
      <c r="E7" s="15" t="n">
        <v>28.25</v>
      </c>
      <c r="F7" s="16">
        <f>IFERROR(E7/400,"")</f>
        <v/>
      </c>
      <c r="G7" s="17">
        <f>'Recipe Usage'!F5</f>
        <v/>
      </c>
      <c r="H7" s="18">
        <f>IFERROR(ROUNDUP(G7/400,0),"")</f>
        <v/>
      </c>
      <c r="I7" s="19" t="n"/>
      <c r="J7" s="18">
        <f>IFERROR(MAX(0,H7-N(I7)),"")</f>
        <v/>
      </c>
      <c r="K7" s="19" t="n"/>
      <c r="L7" s="20">
        <f>IFERROR(N(K7)*E7,0)</f>
        <v/>
      </c>
      <c r="M7" s="21" t="inlineStr">
        <is>
          <t>20% off via Subscribe &amp; Save. Margin Edge carries a 19.3 oz pack at a different price — see Notes &amp; Flags.</t>
        </is>
      </c>
    </row>
    <row r="8">
      <c r="A8" s="4" t="inlineStr">
        <is>
          <t>Collagen Peptides Protein, Vanilla</t>
        </is>
      </c>
      <c r="B8" s="4" t="inlineStr">
        <is>
          <t>Orgain Keto Collagen Protein Powder, Vanilla (14.1 oz)</t>
        </is>
      </c>
      <c r="C8" s="4" t="inlineStr">
        <is>
          <t>Amazon</t>
        </is>
      </c>
      <c r="D8" s="14" t="inlineStr">
        <is>
          <t>400 g</t>
        </is>
      </c>
      <c r="E8" s="15" t="n">
        <v>28.25</v>
      </c>
      <c r="F8" s="16">
        <f>IFERROR(E8/400,"")</f>
        <v/>
      </c>
      <c r="G8" s="17">
        <f>'Recipe Usage'!F6</f>
        <v/>
      </c>
      <c r="H8" s="18">
        <f>IFERROR(ROUNDUP(G8/400,0),"")</f>
        <v/>
      </c>
      <c r="I8" s="19" t="n"/>
      <c r="J8" s="18">
        <f>IFERROR(MAX(0,H8-N(I8)),"")</f>
        <v/>
      </c>
      <c r="K8" s="19" t="n"/>
      <c r="L8" s="20">
        <f>IFERROR(N(K8)*E8,0)</f>
        <v/>
      </c>
      <c r="M8" s="21" t="inlineStr">
        <is>
          <t>Strawberry's "vanilla collagen creamer" is THIS product — confirmed in Margin Edge.</t>
        </is>
      </c>
    </row>
    <row r="9">
      <c r="A9" s="4" t="inlineStr">
        <is>
          <t>Creatine</t>
        </is>
      </c>
      <c r="B9" s="4" t="inlineStr">
        <is>
          <t>THORNE Creatine, Micronized Monohydrate, Unflavored, 180 srv</t>
        </is>
      </c>
      <c r="C9" s="4" t="inlineStr">
        <is>
          <t>Amazon</t>
        </is>
      </c>
      <c r="D9" s="14" t="inlineStr">
        <is>
          <t>900 g</t>
        </is>
      </c>
      <c r="E9" s="15" t="n">
        <v>84</v>
      </c>
      <c r="F9" s="16">
        <f>IFERROR(E9/900,"")</f>
        <v/>
      </c>
      <c r="G9" s="17">
        <f>'Recipe Usage'!F7</f>
        <v/>
      </c>
      <c r="H9" s="18">
        <f>IFERROR(ROUNDUP(G9/900,0),"")</f>
        <v/>
      </c>
      <c r="I9" s="19" t="n"/>
      <c r="J9" s="18">
        <f>IFERROR(MAX(0,H9-N(I9)),"")</f>
        <v/>
      </c>
      <c r="K9" s="19" t="n"/>
      <c r="L9" s="20">
        <f>IFERROR(N(K9)*E9,0)</f>
        <v/>
      </c>
      <c r="M9" s="22" t="inlineStr">
        <is>
          <t>Buy the 180-srv tub. 30-srv is 2.6x the cost per gram. Slides say "liposomal" — this is monohydrate.</t>
        </is>
      </c>
    </row>
    <row r="10">
      <c r="A10" s="4" t="inlineStr">
        <is>
          <t>BHB Ketone Powder, Chocolate</t>
        </is>
      </c>
      <c r="B10" s="4" t="inlineStr">
        <is>
          <t>Perfect Keto Base Ketones, Chocolate (8.57 oz)</t>
        </is>
      </c>
      <c r="C10" s="4" t="inlineStr">
        <is>
          <t>Amazon</t>
        </is>
      </c>
      <c r="D10" s="14" t="inlineStr">
        <is>
          <t>243 g</t>
        </is>
      </c>
      <c r="E10" s="15" t="n">
        <v>42.74</v>
      </c>
      <c r="F10" s="16">
        <f>IFERROR(E10/243,"")</f>
        <v/>
      </c>
      <c r="G10" s="17">
        <f>'Recipe Usage'!F8</f>
        <v/>
      </c>
      <c r="H10" s="18">
        <f>IFERROR(ROUNDUP(G10/243,0),"")</f>
        <v/>
      </c>
      <c r="I10" s="19" t="n"/>
      <c r="J10" s="18">
        <f>IFERROR(MAX(0,H10-N(I10)),"")</f>
        <v/>
      </c>
      <c r="K10" s="19" t="n"/>
      <c r="L10" s="20">
        <f>IFERROR(N(K10)*E10,0)</f>
        <v/>
      </c>
      <c r="M10" s="22" t="inlineStr">
        <is>
          <t>Margin Edge uses Perfect Keto NOOTROPIC instead. Confirm which is correct.</t>
        </is>
      </c>
    </row>
    <row r="11">
      <c r="A11" s="4" t="inlineStr">
        <is>
          <t>Pitaya / Dragon Fruit Powder</t>
        </is>
      </c>
      <c r="B11" s="4" t="inlineStr">
        <is>
          <t>Micro Ingredients Organic Dragon Fruit Powder (10 oz)</t>
        </is>
      </c>
      <c r="C11" s="4" t="inlineStr">
        <is>
          <t>Amazon</t>
        </is>
      </c>
      <c r="D11" s="14" t="inlineStr">
        <is>
          <t>283 g</t>
        </is>
      </c>
      <c r="E11" s="15" t="n">
        <v>25.34</v>
      </c>
      <c r="F11" s="16">
        <f>IFERROR(E11/283,"")</f>
        <v/>
      </c>
      <c r="G11" s="17">
        <f>'Recipe Usage'!F9</f>
        <v/>
      </c>
      <c r="H11" s="18">
        <f>IFERROR(ROUNDUP(G11/283,0),"")</f>
        <v/>
      </c>
      <c r="I11" s="19" t="n"/>
      <c r="J11" s="18">
        <f>IFERROR(MAX(0,H11-N(I11)),"")</f>
        <v/>
      </c>
      <c r="K11" s="19" t="n"/>
      <c r="L11" s="20">
        <f>IFERROR(N(K11)*E11,0)</f>
        <v/>
      </c>
      <c r="M11" s="21" t="inlineStr">
        <is>
          <t>Label reads "pink pitaya" — correct product.</t>
        </is>
      </c>
    </row>
    <row r="12">
      <c r="A12" s="4" t="inlineStr">
        <is>
          <t>Peanut Butter Powder</t>
        </is>
      </c>
      <c r="B12" s="4" t="inlineStr">
        <is>
          <t>Micro Ingredients Pure Peanut Butter Powder, 4 lb (no sugar/salt)</t>
        </is>
      </c>
      <c r="C12" s="4" t="inlineStr">
        <is>
          <t>Amazon</t>
        </is>
      </c>
      <c r="D12" s="14" t="inlineStr">
        <is>
          <t>1,814 g</t>
        </is>
      </c>
      <c r="E12" s="15" t="n">
        <v>28.41</v>
      </c>
      <c r="F12" s="16">
        <f>IFERROR(E12/1814,"")</f>
        <v/>
      </c>
      <c r="G12" s="17">
        <f>'Recipe Usage'!F10</f>
        <v/>
      </c>
      <c r="H12" s="18">
        <f>IFERROR(ROUNDUP(G12/1814,0),"")</f>
        <v/>
      </c>
      <c r="I12" s="19" t="n"/>
      <c r="J12" s="18">
        <f>IFERROR(MAX(0,H12-N(I12)),"")</f>
        <v/>
      </c>
      <c r="K12" s="19" t="n"/>
      <c r="L12" s="20">
        <f>IFERROR(N(K12)*E12,0)</f>
        <v/>
      </c>
      <c r="M12" s="22" t="inlineStr">
        <is>
          <t>UNSWEETENED ONLY. Do not substitute Lakanto — Keto has a separate monkfruit line.</t>
        </is>
      </c>
    </row>
    <row r="13">
      <c r="A13" s="4" t="inlineStr">
        <is>
          <t>Monkfruit Sugar, Powdered</t>
        </is>
      </c>
      <c r="B13" s="4" t="inlineStr">
        <is>
          <t>Lakanto Powdered Monk Fruit Sweetener w/ Erythritol, Confectioners, 1 lb</t>
        </is>
      </c>
      <c r="C13" s="4" t="inlineStr">
        <is>
          <t>Amazon</t>
        </is>
      </c>
      <c r="D13" s="14" t="inlineStr">
        <is>
          <t>454 g</t>
        </is>
      </c>
      <c r="E13" s="15" t="n">
        <v>16.29</v>
      </c>
      <c r="F13" s="16">
        <f>IFERROR(E13/454,"")</f>
        <v/>
      </c>
      <c r="G13" s="17">
        <f>'Recipe Usage'!F11</f>
        <v/>
      </c>
      <c r="H13" s="18">
        <f>IFERROR(ROUNDUP(G13/454,0),"")</f>
        <v/>
      </c>
      <c r="I13" s="19" t="n"/>
      <c r="J13" s="18">
        <f>IFERROR(MAX(0,H13-N(I13)),"")</f>
        <v/>
      </c>
      <c r="K13" s="19" t="n"/>
      <c r="L13" s="20">
        <f>IFERROR(N(K13)*E13,0)</f>
        <v/>
      </c>
      <c r="M13" s="21" t="inlineStr"/>
    </row>
    <row r="14">
      <c r="A14" s="4" t="inlineStr">
        <is>
          <t>Hyaluronic Acid Powder</t>
        </is>
      </c>
      <c r="B14" s="4" t="inlineStr">
        <is>
          <t>Micro Ingredients Hyaluronic Acid Serum Powder, 100 g</t>
        </is>
      </c>
      <c r="C14" s="4" t="inlineStr">
        <is>
          <t>Amazon</t>
        </is>
      </c>
      <c r="D14" s="14" t="inlineStr">
        <is>
          <t>100 g</t>
        </is>
      </c>
      <c r="E14" s="15" t="n">
        <v>34.74</v>
      </c>
      <c r="F14" s="16">
        <f>IFERROR(E14/100,"")</f>
        <v/>
      </c>
      <c r="G14" s="17">
        <f>'Recipe Usage'!F12</f>
        <v/>
      </c>
      <c r="H14" s="18">
        <f>IFERROR(ROUNDUP(G14/100,0),"")</f>
        <v/>
      </c>
      <c r="I14" s="19" t="n"/>
      <c r="J14" s="18">
        <f>IFERROR(MAX(0,H14-N(I14)),"")</f>
        <v/>
      </c>
      <c r="K14" s="19" t="n"/>
      <c r="L14" s="20">
        <f>IFERROR(N(K14)*E14,0)</f>
        <v/>
      </c>
      <c r="M14" s="21" t="inlineStr">
        <is>
          <t>Recipe hits pack size exactly (2 x 100 g), zero waste.</t>
        </is>
      </c>
    </row>
    <row r="15">
      <c r="A15" s="4" t="inlineStr">
        <is>
          <t>Maca Root Powder</t>
        </is>
      </c>
      <c r="B15" s="4" t="inlineStr">
        <is>
          <t>Micro Ingredients Organic Maca Root Powder, gelatinized, 2 lb</t>
        </is>
      </c>
      <c r="C15" s="4" t="inlineStr">
        <is>
          <t>Amazon</t>
        </is>
      </c>
      <c r="D15" s="14" t="inlineStr">
        <is>
          <t>907 g</t>
        </is>
      </c>
      <c r="E15" s="15" t="n">
        <v>23.35</v>
      </c>
      <c r="F15" s="16">
        <f>IFERROR(E15/907,"")</f>
        <v/>
      </c>
      <c r="G15" s="17">
        <f>'Recipe Usage'!F13</f>
        <v/>
      </c>
      <c r="H15" s="18">
        <f>IFERROR(ROUNDUP(G15/907,0),"")</f>
        <v/>
      </c>
      <c r="I15" s="19" t="n"/>
      <c r="J15" s="18">
        <f>IFERROR(MAX(0,H15-N(I15)),"")</f>
        <v/>
      </c>
      <c r="K15" s="19" t="n"/>
      <c r="L15" s="20">
        <f>IFERROR(N(K15)*E15,0)</f>
        <v/>
      </c>
      <c r="M15" s="21" t="inlineStr">
        <is>
          <t>~10 batches per bag.</t>
        </is>
      </c>
    </row>
    <row r="16">
      <c r="A16" s="4" t="inlineStr">
        <is>
          <t>Raw Mesquite Powder</t>
        </is>
      </c>
      <c r="B16" s="4" t="inlineStr">
        <is>
          <t>Terrasoul Superfoods Organic Mesquite Powder, 16 oz</t>
        </is>
      </c>
      <c r="C16" s="4" t="inlineStr">
        <is>
          <t>Amazon</t>
        </is>
      </c>
      <c r="D16" s="14" t="inlineStr">
        <is>
          <t>454 g</t>
        </is>
      </c>
      <c r="E16" s="15" t="n">
        <v>14.69</v>
      </c>
      <c r="F16" s="16">
        <f>IFERROR(E16/454,"")</f>
        <v/>
      </c>
      <c r="G16" s="17">
        <f>'Recipe Usage'!F14</f>
        <v/>
      </c>
      <c r="H16" s="18">
        <f>IFERROR(ROUNDUP(G16/454,0),"")</f>
        <v/>
      </c>
      <c r="I16" s="19" t="n"/>
      <c r="J16" s="18">
        <f>IFERROR(MAX(0,H16-N(I16)),"")</f>
        <v/>
      </c>
      <c r="K16" s="19" t="n"/>
      <c r="L16" s="20">
        <f>IFERROR(N(K16)*E16,0)</f>
        <v/>
      </c>
      <c r="M16" s="21" t="inlineStr">
        <is>
          <t>~4 batches per bag.</t>
        </is>
      </c>
    </row>
    <row r="17">
      <c r="A17" s="4" t="inlineStr">
        <is>
          <t>Chia Seeds</t>
        </is>
      </c>
      <c r="B17" s="4" t="inlineStr">
        <is>
          <t>BBF Organic Chia Seeds, 2 lb jar</t>
        </is>
      </c>
      <c r="C17" s="4" t="inlineStr">
        <is>
          <t>Amazon</t>
        </is>
      </c>
      <c r="D17" s="14" t="inlineStr">
        <is>
          <t>907 g</t>
        </is>
      </c>
      <c r="E17" s="15" t="n">
        <v>13.97</v>
      </c>
      <c r="F17" s="16">
        <f>IFERROR(E17/907,"")</f>
        <v/>
      </c>
      <c r="G17" s="17">
        <f>'Recipe Usage'!F15</f>
        <v/>
      </c>
      <c r="H17" s="18">
        <f>IFERROR(ROUNDUP(G17/907,0),"")</f>
        <v/>
      </c>
      <c r="I17" s="19" t="n"/>
      <c r="J17" s="18">
        <f>IFERROR(MAX(0,H17-N(I17)),"")</f>
        <v/>
      </c>
      <c r="K17" s="19" t="n"/>
      <c r="L17" s="20">
        <f>IFERROR(N(K17)*E17,0)</f>
        <v/>
      </c>
      <c r="M17" s="21" t="inlineStr">
        <is>
          <t>Stay on the 2 lb ($0.44/oz); the 20 oz is $0.48/oz. Margin Edge shows $0.18/oz — see Flags.</t>
        </is>
      </c>
    </row>
    <row r="18">
      <c r="A18" s="4" t="inlineStr">
        <is>
          <t>Sea Moss Powder</t>
        </is>
      </c>
      <c r="B18" s="4" t="inlineStr">
        <is>
          <t>BareOrganics Organic Irish Sea Moss Powder, 8 oz</t>
        </is>
      </c>
      <c r="C18" s="4" t="inlineStr">
        <is>
          <t>Amazon</t>
        </is>
      </c>
      <c r="D18" s="14" t="inlineStr">
        <is>
          <t>227 g</t>
        </is>
      </c>
      <c r="E18" s="15" t="n">
        <v>21.97</v>
      </c>
      <c r="F18" s="16">
        <f>IFERROR(E18/227,"")</f>
        <v/>
      </c>
      <c r="G18" s="17">
        <f>'Recipe Usage'!F16</f>
        <v/>
      </c>
      <c r="H18" s="18">
        <f>IFERROR(ROUNDUP(G18/227,0),"")</f>
        <v/>
      </c>
      <c r="I18" s="19" t="n"/>
      <c r="J18" s="18">
        <f>IFERROR(MAX(0,H18-N(I18)),"")</f>
        <v/>
      </c>
      <c r="K18" s="19" t="n"/>
      <c r="L18" s="20">
        <f>IFERROR(N(K18)*E18,0)</f>
        <v/>
      </c>
      <c r="M18" s="21" t="inlineStr">
        <is>
          <t>~16 batches per tub.</t>
        </is>
      </c>
    </row>
    <row r="19">
      <c r="A19" s="4" t="inlineStr">
        <is>
          <t>Bovine Colostrum</t>
        </is>
      </c>
      <c r="B19" s="4" t="inlineStr">
        <is>
          <t>Kion Colostrum, Grass-Fed Bovine Powder, 3.39 oz</t>
        </is>
      </c>
      <c r="C19" s="4" t="inlineStr">
        <is>
          <t>Amazon</t>
        </is>
      </c>
      <c r="D19" s="14" t="inlineStr">
        <is>
          <t>96 g</t>
        </is>
      </c>
      <c r="E19" s="15" t="n">
        <v>54.95</v>
      </c>
      <c r="F19" s="16">
        <f>IFERROR(E19/96,"")</f>
        <v/>
      </c>
      <c r="G19" s="17">
        <f>'Recipe Usage'!F17</f>
        <v/>
      </c>
      <c r="H19" s="18">
        <f>IFERROR(ROUNDUP(G19/96,0),"")</f>
        <v/>
      </c>
      <c r="I19" s="19" t="n"/>
      <c r="J19" s="18">
        <f>IFERROR(MAX(0,H19-N(I19)),"")</f>
        <v/>
      </c>
      <c r="K19" s="19" t="n"/>
      <c r="L19" s="20">
        <f>IFERROR(N(K19)*E19,0)</f>
        <v/>
      </c>
      <c r="M19" s="22" t="inlineStr">
        <is>
          <t>Recipe is 100 g vs a 96 g jar — 4 g over forces a 2nd jar. Rounding to 96 g saves $54.95/batch.</t>
        </is>
      </c>
    </row>
    <row r="20">
      <c r="A20" s="4" t="inlineStr">
        <is>
          <t>Greens w/ PerfectAmino</t>
        </is>
      </c>
      <c r="B20" s="4" t="inlineStr">
        <is>
          <t>BodyHealth Greens Enhanced w/ PerfectAmino, Green Apple, 8.61 oz</t>
        </is>
      </c>
      <c r="C20" s="4" t="inlineStr">
        <is>
          <t>Amazon</t>
        </is>
      </c>
      <c r="D20" s="14" t="inlineStr">
        <is>
          <t>244 g</t>
        </is>
      </c>
      <c r="E20" s="15" t="n">
        <v>64.17</v>
      </c>
      <c r="F20" s="16">
        <f>IFERROR(E20/244,"")</f>
        <v/>
      </c>
      <c r="G20" s="17">
        <f>'Recipe Usage'!F18</f>
        <v/>
      </c>
      <c r="H20" s="18">
        <f>IFERROR(ROUNDUP(G20/244,0),"")</f>
        <v/>
      </c>
      <c r="I20" s="19" t="n"/>
      <c r="J20" s="18">
        <f>IFERROR(MAX(0,H20-N(I20)),"")</f>
        <v/>
      </c>
      <c r="K20" s="19" t="n"/>
      <c r="L20" s="20">
        <f>IFERROR(N(K20)*E20,0)</f>
        <v/>
      </c>
      <c r="M20" s="21" t="inlineStr">
        <is>
          <t>Listing has 4 sizes. Standardize on 8.61 oz.</t>
        </is>
      </c>
    </row>
    <row r="21">
      <c r="A21" s="4" t="inlineStr">
        <is>
          <t>Flax Seed, Ground</t>
        </is>
      </c>
      <c r="B21" s="4" t="inlineStr">
        <is>
          <t>Viva Naturals Organic Ground Flaxseed, finely milled, 15 oz</t>
        </is>
      </c>
      <c r="C21" s="4" t="inlineStr">
        <is>
          <t>Amazon</t>
        </is>
      </c>
      <c r="D21" s="14" t="inlineStr">
        <is>
          <t>425 g</t>
        </is>
      </c>
      <c r="E21" s="15" t="n">
        <v>11.15</v>
      </c>
      <c r="F21" s="16">
        <f>IFERROR(E21/425,"")</f>
        <v/>
      </c>
      <c r="G21" s="17">
        <f>'Recipe Usage'!F19</f>
        <v/>
      </c>
      <c r="H21" s="18">
        <f>IFERROR(ROUNDUP(G21/425,0),"")</f>
        <v/>
      </c>
      <c r="I21" s="19" t="n"/>
      <c r="J21" s="18">
        <f>IFERROR(MAX(0,H21-N(I21)),"")</f>
        <v/>
      </c>
      <c r="K21" s="19" t="n"/>
      <c r="L21" s="20">
        <f>IFERROR(N(K21)*E21,0)</f>
        <v/>
      </c>
      <c r="M21" s="22" t="inlineStr">
        <is>
          <t>Business price. Margin Edge shows 135 g per batch, slide says 35 g — confirm.</t>
        </is>
      </c>
    </row>
    <row r="22">
      <c r="A22" s="4" t="inlineStr">
        <is>
          <t>Blue Spirulina</t>
        </is>
      </c>
      <c r="B22" s="4" t="inlineStr">
        <is>
          <t>Micro Ingredients Organic Blue Spirulina (phycocyanin), 2 oz</t>
        </is>
      </c>
      <c r="C22" s="4" t="inlineStr">
        <is>
          <t>Amazon</t>
        </is>
      </c>
      <c r="D22" s="14" t="inlineStr">
        <is>
          <t>60 g</t>
        </is>
      </c>
      <c r="E22" s="15" t="n">
        <v>27.26</v>
      </c>
      <c r="F22" s="16">
        <f>IFERROR(E22/60,"")</f>
        <v/>
      </c>
      <c r="G22" s="17">
        <f>'Recipe Usage'!F20</f>
        <v/>
      </c>
      <c r="H22" s="18">
        <f>IFERROR(ROUNDUP(G22/60,0),"")</f>
        <v/>
      </c>
      <c r="I22" s="19" t="n"/>
      <c r="J22" s="18">
        <f>IFERROR(MAX(0,H22-N(I22)),"")</f>
        <v/>
      </c>
      <c r="K22" s="19" t="n"/>
      <c r="L22" s="20">
        <f>IFERROR(N(K22)*E22,0)</f>
        <v/>
      </c>
      <c r="M22" s="21" t="inlineStr">
        <is>
          <t>Exactly 5 bags, zero waste. 2nd most expensive gram in the program.</t>
        </is>
      </c>
    </row>
    <row r="23">
      <c r="A23" s="4" t="inlineStr">
        <is>
          <t>Cocoa Powder</t>
        </is>
      </c>
      <c r="B23" s="23" t="inlineStr">
        <is>
          <t>** NO SKU CONFIRMED ** — milled cocoa powder needed</t>
        </is>
      </c>
      <c r="C23" s="4" t="inlineStr">
        <is>
          <t>Amazon</t>
        </is>
      </c>
      <c r="D23" s="14" t="inlineStr">
        <is>
          <t>—</t>
        </is>
      </c>
      <c r="E23" s="24" t="n"/>
      <c r="F23" s="24" t="n"/>
      <c r="G23" s="17">
        <f>'Recipe Usage'!F21</f>
        <v/>
      </c>
      <c r="H23" s="24" t="n"/>
      <c r="I23" s="24" t="n"/>
      <c r="J23" s="24" t="n"/>
      <c r="K23" s="24" t="n"/>
      <c r="L23" s="24" t="n"/>
      <c r="M23" s="22" t="inlineStr">
        <is>
          <t>Cacao NIBS are cafe-side and cannot substitute — they won't pass the sift. Margin Edge has 'Spice, Cocoa Powder' at $1.57/100 g.</t>
        </is>
      </c>
    </row>
    <row r="24">
      <c r="A24" s="12" t="inlineStr">
        <is>
          <t>SMOOTHIE POWDER PREP — OTHER VENDORS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>
      <c r="A25" s="4" t="inlineStr">
        <is>
          <t>Allulose Powder</t>
        </is>
      </c>
      <c r="B25" s="4" t="inlineStr">
        <is>
          <t>Allulose Powder, 55 lb bulk bag</t>
        </is>
      </c>
      <c r="C25" s="4" t="inlineStr">
        <is>
          <t>Hillcrest</t>
        </is>
      </c>
      <c r="D25" s="14" t="inlineStr">
        <is>
          <t>55 lb / 24,948 g</t>
        </is>
      </c>
      <c r="E25" s="15" t="n">
        <v>214.08</v>
      </c>
      <c r="F25" s="16">
        <f>IFERROR(E25/24948,"")</f>
        <v/>
      </c>
      <c r="G25" s="17">
        <f>'Recipe Usage'!F22</f>
        <v/>
      </c>
      <c r="H25" s="18">
        <f>IFERROR(ROUNDUP(G25/24948,0),"")</f>
        <v/>
      </c>
      <c r="I25" s="19" t="n"/>
      <c r="J25" s="18">
        <f>IFERROR(MAX(0,H25-N(I25)),"")</f>
        <v/>
      </c>
      <c r="K25" s="19" t="n"/>
      <c r="L25" s="20">
        <f>IFERROR(N(K25)*E25,0)</f>
        <v/>
      </c>
      <c r="M25" s="21" t="inlineStr">
        <is>
          <t>~14 batches per bag. Bulk drop-ship — confirm lead time.</t>
        </is>
      </c>
    </row>
    <row r="26">
      <c r="A26" s="4" t="inlineStr">
        <is>
          <t>Matcha</t>
        </is>
      </c>
      <c r="B26" s="4" t="inlineStr">
        <is>
          <t>Sante Matcha CoffeeHouse Ceremonial, Organic, 250 g</t>
        </is>
      </c>
      <c r="C26" s="4" t="inlineStr">
        <is>
          <t>Sante (direct)</t>
        </is>
      </c>
      <c r="D26" s="14" t="inlineStr">
        <is>
          <t>250 g</t>
        </is>
      </c>
      <c r="E26" s="15" t="n">
        <v>74.25</v>
      </c>
      <c r="F26" s="16">
        <f>IFERROR(E26/250,"")</f>
        <v/>
      </c>
      <c r="G26" s="17">
        <f>'Recipe Usage'!F23</f>
        <v/>
      </c>
      <c r="H26" s="18">
        <f>IFERROR(ROUNDUP(G26/250,0),"")</f>
        <v/>
      </c>
      <c r="I26" s="19" t="n"/>
      <c r="J26" s="18">
        <f>IFERROR(MAX(0,H26-N(I26)),"")</f>
        <v/>
      </c>
      <c r="K26" s="19" t="n"/>
      <c r="L26" s="20">
        <f>IFERROR(N(K26)*E26,0)</f>
        <v/>
      </c>
      <c r="M26" s="21" t="inlineStr">
        <is>
          <t>$74.25/bag net of 38% account discount (list $120). 10-bag lots = $742.50, ~46 batches.</t>
        </is>
      </c>
    </row>
    <row r="27">
      <c r="A27" s="12" t="inlineStr">
        <is>
          <t>SMOOTHIE LIQUID MIX — recipes confirmed in Margin Edge, usage not yet mapped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</row>
    <row r="28">
      <c r="A28" s="4" t="inlineStr">
        <is>
          <t>Coconut Cream</t>
        </is>
      </c>
      <c r="B28" s="4" t="inlineStr">
        <is>
          <t>Nature's Greatest Organic Coconut Cream, no guar gum</t>
        </is>
      </c>
      <c r="C28" s="4" t="inlineStr">
        <is>
          <t>Amazon</t>
        </is>
      </c>
      <c r="D28" s="14" t="inlineStr">
        <is>
          <t>12 x 13.5 fl oz</t>
        </is>
      </c>
      <c r="E28" s="15" t="n">
        <v>45.44</v>
      </c>
      <c r="F28" s="24" t="n"/>
      <c r="G28" s="24" t="n"/>
      <c r="H28" s="24" t="n"/>
      <c r="I28" s="19" t="n"/>
      <c r="J28" s="25" t="inlineStr">
        <is>
          <t>par</t>
        </is>
      </c>
      <c r="K28" s="19" t="n"/>
      <c r="L28" s="20">
        <f>IFERROR(N(K28)*E28,0)</f>
        <v/>
      </c>
      <c r="M28" s="22" t="inlineStr">
        <is>
          <t>CONFIRMED: Being Brigid Liquid Mix + Fall Coconut Cream (bar). Margin Edge prices it at $0 — data gap.</t>
        </is>
      </c>
    </row>
    <row r="29">
      <c r="A29" s="4" t="inlineStr">
        <is>
          <t>Almond Milk</t>
        </is>
      </c>
      <c r="B29" s="4" t="inlineStr">
        <is>
          <t>Mooala Organic Simple Almond Milk, unsweetened</t>
        </is>
      </c>
      <c r="C29" s="4" t="inlineStr">
        <is>
          <t>Amazon</t>
        </is>
      </c>
      <c r="D29" s="14" t="inlineStr">
        <is>
          <t>6 x 32 oz</t>
        </is>
      </c>
      <c r="E29" s="15" t="n">
        <v>36.99</v>
      </c>
      <c r="F29" s="24" t="n"/>
      <c r="G29" s="24" t="n"/>
      <c r="H29" s="24" t="n"/>
      <c r="I29" s="19" t="n"/>
      <c r="J29" s="25" t="inlineStr">
        <is>
          <t>par</t>
        </is>
      </c>
      <c r="K29" s="19" t="n"/>
      <c r="L29" s="20">
        <f>IFERROR(N(K29)*E29,0)</f>
        <v/>
      </c>
      <c r="M29" s="21" t="inlineStr">
        <is>
          <t>Liquid Mix component.</t>
        </is>
      </c>
    </row>
    <row r="30">
      <c r="A30" s="4" t="inlineStr">
        <is>
          <t>Oat Milk Creamer</t>
        </is>
      </c>
      <c r="B30" s="4" t="inlineStr">
        <is>
          <t>JOI Instant Oat Milk Creamer Pouch</t>
        </is>
      </c>
      <c r="C30" s="4" t="inlineStr">
        <is>
          <t>Amazon</t>
        </is>
      </c>
      <c r="D30" s="14" t="inlineStr">
        <is>
          <t>32 servings</t>
        </is>
      </c>
      <c r="E30" s="15" t="n">
        <v>30.56</v>
      </c>
      <c r="F30" s="24" t="n"/>
      <c r="G30" s="24" t="n"/>
      <c r="H30" s="24" t="n"/>
      <c r="I30" s="19" t="n"/>
      <c r="J30" s="25" t="inlineStr">
        <is>
          <t>par</t>
        </is>
      </c>
      <c r="K30" s="19" t="n"/>
      <c r="L30" s="20">
        <f>IFERROR(N(K30)*E30,0)</f>
        <v/>
      </c>
      <c r="M30" s="21" t="inlineStr">
        <is>
          <t>Liquid Mix component.</t>
        </is>
      </c>
    </row>
    <row r="31">
      <c r="A31" s="4" t="inlineStr">
        <is>
          <t>MCT Oil</t>
        </is>
      </c>
      <c r="B31" s="4" t="inlineStr">
        <is>
          <t>Nature's Way Organic MCT Oil</t>
        </is>
      </c>
      <c r="C31" s="4" t="inlineStr">
        <is>
          <t>Amazon</t>
        </is>
      </c>
      <c r="D31" s="14" t="inlineStr">
        <is>
          <t>30 fl oz</t>
        </is>
      </c>
      <c r="E31" s="15" t="n">
        <v>20.17</v>
      </c>
      <c r="F31" s="24" t="n"/>
      <c r="G31" s="24" t="n"/>
      <c r="H31" s="24" t="n"/>
      <c r="I31" s="19" t="n"/>
      <c r="J31" s="25" t="inlineStr">
        <is>
          <t>par</t>
        </is>
      </c>
      <c r="K31" s="19" t="n"/>
      <c r="L31" s="20">
        <f>IFERROR(N(K31)*E31,0)</f>
        <v/>
      </c>
      <c r="M31" s="21" t="inlineStr">
        <is>
          <t>Liquid Mix component.</t>
        </is>
      </c>
    </row>
    <row r="32">
      <c r="A32" s="4" t="inlineStr">
        <is>
          <t>Beef Protein, Vanilla</t>
        </is>
      </c>
      <c r="B32" s="4" t="inlineStr">
        <is>
          <t>Equip Foods Prime Protein, Vanilla (grass-fed beef)</t>
        </is>
      </c>
      <c r="C32" s="4" t="inlineStr">
        <is>
          <t>Amazon</t>
        </is>
      </c>
      <c r="D32" s="14" t="inlineStr">
        <is>
          <t>30 servings</t>
        </is>
      </c>
      <c r="E32" s="15" t="n">
        <v>64.63</v>
      </c>
      <c r="F32" s="24" t="n"/>
      <c r="G32" s="24" t="n"/>
      <c r="H32" s="24" t="n"/>
      <c r="I32" s="19" t="n"/>
      <c r="J32" s="25" t="inlineStr">
        <is>
          <t>par</t>
        </is>
      </c>
      <c r="K32" s="19" t="n"/>
      <c r="L32" s="20">
        <f>IFERROR(N(K32)*E32,0)</f>
        <v/>
      </c>
      <c r="M32" s="21" t="inlineStr">
        <is>
          <t>Liquid Mix component.</t>
        </is>
      </c>
    </row>
    <row r="33">
      <c r="A33" s="4" t="inlineStr">
        <is>
          <t>Cashew Butter</t>
        </is>
      </c>
      <c r="B33" s="23" t="inlineStr">
        <is>
          <t>** NO SKU CONFIRMED **</t>
        </is>
      </c>
      <c r="C33" s="4" t="inlineStr">
        <is>
          <t>Amazon</t>
        </is>
      </c>
      <c r="D33" s="14" t="inlineStr">
        <is>
          <t>—</t>
        </is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2" t="inlineStr">
        <is>
          <t>Being Brigid Liquid Mix uses 330 g. Margin Edge prices it at $8.53 — need the purchased SKU.</t>
        </is>
      </c>
    </row>
    <row r="34">
      <c r="A34" s="12" t="inlineStr">
        <is>
          <t>COCKTAIL / BAR PREP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4" t="inlineStr">
        <is>
          <t>Chai, Loose Leaf</t>
        </is>
      </c>
      <c r="B35" s="4" t="inlineStr">
        <is>
          <t>Davidson's Tea Bulk, Classic Chai</t>
        </is>
      </c>
      <c r="C35" s="4" t="inlineStr">
        <is>
          <t>Amazon</t>
        </is>
      </c>
      <c r="D35" s="14" t="inlineStr">
        <is>
          <t>16 oz</t>
        </is>
      </c>
      <c r="E35" s="15" t="n">
        <v>19.12</v>
      </c>
      <c r="F35" s="24" t="n"/>
      <c r="G35" s="24" t="n"/>
      <c r="H35" s="24" t="n"/>
      <c r="I35" s="19" t="n"/>
      <c r="J35" s="25" t="inlineStr">
        <is>
          <t>par</t>
        </is>
      </c>
      <c r="K35" s="19" t="n"/>
      <c r="L35" s="20">
        <f>IFERROR(N(K35)*E35,0)</f>
        <v/>
      </c>
      <c r="M35" s="22" t="inlineStr">
        <is>
          <t>CONFIRMED: 'Brewed Chai Tea' bar prep (4 fl oz per 32 oz batch). Margin Edge prices it at $0 — data gap.</t>
        </is>
      </c>
    </row>
    <row r="36">
      <c r="A36" s="4" t="inlineStr">
        <is>
          <t>Chai Concentrate</t>
        </is>
      </c>
      <c r="B36" s="4" t="inlineStr">
        <is>
          <t>Bhakti Chai Tea Concentrate, Unsweetened</t>
        </is>
      </c>
      <c r="C36" s="4" t="inlineStr">
        <is>
          <t>Amazon</t>
        </is>
      </c>
      <c r="D36" s="14" t="inlineStr">
        <is>
          <t>2-pack, 16 srv</t>
        </is>
      </c>
      <c r="E36" s="15" t="n">
        <v>19.99</v>
      </c>
      <c r="F36" s="24" t="n"/>
      <c r="G36" s="24" t="n"/>
      <c r="H36" s="24" t="n"/>
      <c r="I36" s="19" t="n"/>
      <c r="J36" s="25" t="inlineStr">
        <is>
          <t>par</t>
        </is>
      </c>
      <c r="K36" s="19" t="n"/>
      <c r="L36" s="20">
        <f>IFERROR(N(K36)*E36,0)</f>
        <v/>
      </c>
      <c r="M36" s="21" t="inlineStr">
        <is>
          <t>Second chai format. Confirm both are needed — concentrate vs loose leaf.</t>
        </is>
      </c>
    </row>
    <row r="37">
      <c r="A37" s="4" t="inlineStr">
        <is>
          <t>Hibiscus Flowers</t>
        </is>
      </c>
      <c r="B37" s="4" t="inlineStr">
        <is>
          <t>Organic Hibiscus Flowers, cut &amp; sifted</t>
        </is>
      </c>
      <c r="C37" s="4" t="inlineStr">
        <is>
          <t>Amazon</t>
        </is>
      </c>
      <c r="D37" s="14" t="inlineStr">
        <is>
          <t>2 lb</t>
        </is>
      </c>
      <c r="E37" s="15" t="n">
        <v>27.51</v>
      </c>
      <c r="F37" s="24" t="n"/>
      <c r="G37" s="24" t="n"/>
      <c r="H37" s="24" t="n"/>
      <c r="I37" s="19" t="n"/>
      <c r="J37" s="25" t="inlineStr">
        <is>
          <t>par</t>
        </is>
      </c>
      <c r="K37" s="19" t="n"/>
      <c r="L37" s="20">
        <f>IFERROR(N(K37)*E37,0)</f>
        <v/>
      </c>
      <c r="M37" s="21" t="inlineStr">
        <is>
          <t>Feeds Hibiscus Cinnamon Simple, Hibiscus Limeade Bulk, Hibiscus Allulose Syrup.</t>
        </is>
      </c>
    </row>
    <row r="38">
      <c r="A38" s="4" t="inlineStr">
        <is>
          <t>Agave Syrup</t>
        </is>
      </c>
      <c r="B38" s="4" t="inlineStr">
        <is>
          <t>Blue Green Organics Raw Blue Agave Syrup</t>
        </is>
      </c>
      <c r="C38" s="4" t="inlineStr">
        <is>
          <t>Amazon</t>
        </is>
      </c>
      <c r="D38" s="14" t="inlineStr">
        <is>
          <t>176 oz</t>
        </is>
      </c>
      <c r="E38" s="15" t="n">
        <v>45.59</v>
      </c>
      <c r="F38" s="24" t="n"/>
      <c r="G38" s="24" t="n"/>
      <c r="H38" s="24" t="n"/>
      <c r="I38" s="19" t="n"/>
      <c r="J38" s="25" t="inlineStr">
        <is>
          <t>par</t>
        </is>
      </c>
      <c r="K38" s="19" t="n"/>
      <c r="L38" s="20">
        <f>IFERROR(N(K38)*E38,0)</f>
        <v/>
      </c>
      <c r="M38" s="21" t="inlineStr">
        <is>
          <t>Bulk sweetener. Qty 2 last ordered.</t>
        </is>
      </c>
    </row>
    <row r="39">
      <c r="A39" s="4" t="inlineStr">
        <is>
          <t>Vanilla Bean Paste</t>
        </is>
      </c>
      <c r="B39" s="4" t="inlineStr">
        <is>
          <t>Simply Organic Vanilla Bean Paste</t>
        </is>
      </c>
      <c r="C39" s="4" t="inlineStr">
        <is>
          <t>Amazon</t>
        </is>
      </c>
      <c r="D39" s="14" t="inlineStr">
        <is>
          <t>4 oz jar</t>
        </is>
      </c>
      <c r="E39" s="15" t="n">
        <v>17.89</v>
      </c>
      <c r="F39" s="24" t="n"/>
      <c r="G39" s="24" t="n"/>
      <c r="H39" s="24" t="n"/>
      <c r="I39" s="19" t="n"/>
      <c r="J39" s="25" t="inlineStr">
        <is>
          <t>par</t>
        </is>
      </c>
      <c r="K39" s="19" t="n"/>
      <c r="L39" s="20">
        <f>IFERROR(N(K39)*E39,0)</f>
        <v/>
      </c>
      <c r="M39" s="21" t="inlineStr">
        <is>
          <t>Qty 10 last ordered — high volume for 4 oz jars. Check if a larger pack exists.</t>
        </is>
      </c>
    </row>
    <row r="40">
      <c r="A40" s="4" t="inlineStr">
        <is>
          <t>Star Anise, Whole</t>
        </is>
      </c>
      <c r="B40" s="4" t="inlineStr">
        <is>
          <t>Frontier Co-op Organic Whole Star Anise</t>
        </is>
      </c>
      <c r="C40" s="4" t="inlineStr">
        <is>
          <t>Amazon</t>
        </is>
      </c>
      <c r="D40" s="14" t="inlineStr">
        <is>
          <t>1 lb</t>
        </is>
      </c>
      <c r="E40" s="15" t="n">
        <v>33.52</v>
      </c>
      <c r="F40" s="24" t="n"/>
      <c r="G40" s="24" t="n"/>
      <c r="H40" s="24" t="n"/>
      <c r="I40" s="19" t="n"/>
      <c r="J40" s="25" t="inlineStr">
        <is>
          <t>par</t>
        </is>
      </c>
      <c r="K40" s="19" t="n"/>
      <c r="L40" s="20">
        <f>IFERROR(N(K40)*E40,0)</f>
        <v/>
      </c>
      <c r="M40" s="21" t="inlineStr">
        <is>
          <t>Qty 4 last ordered.</t>
        </is>
      </c>
    </row>
    <row r="41">
      <c r="A41" s="4" t="inlineStr">
        <is>
          <t>Pumpkin Pie Spice</t>
        </is>
      </c>
      <c r="B41" s="4" t="inlineStr">
        <is>
          <t>Frontier Organic Pumpkin Pie Spice</t>
        </is>
      </c>
      <c r="C41" s="4" t="inlineStr">
        <is>
          <t>Amazon</t>
        </is>
      </c>
      <c r="D41" s="14" t="inlineStr">
        <is>
          <t>16 oz</t>
        </is>
      </c>
      <c r="E41" s="15" t="n">
        <v>13.12</v>
      </c>
      <c r="F41" s="24" t="n"/>
      <c r="G41" s="24" t="n"/>
      <c r="H41" s="24" t="n"/>
      <c r="I41" s="19" t="n"/>
      <c r="J41" s="25" t="inlineStr">
        <is>
          <t>par</t>
        </is>
      </c>
      <c r="K41" s="19" t="n"/>
      <c r="L41" s="20">
        <f>IFERROR(N(K41)*E41,0)</f>
        <v/>
      </c>
      <c r="M41" s="21" t="inlineStr">
        <is>
          <t>Seasonal. NOT a cinnamon substitute — it's a blend.</t>
        </is>
      </c>
    </row>
    <row r="42">
      <c r="A42" s="4" t="inlineStr">
        <is>
          <t>Pecans, Raw</t>
        </is>
      </c>
      <c r="B42" s="4" t="inlineStr">
        <is>
          <t>Yupik Organic Raw Pecans, unsalted</t>
        </is>
      </c>
      <c r="C42" s="4" t="inlineStr">
        <is>
          <t>Amazon</t>
        </is>
      </c>
      <c r="D42" s="14" t="inlineStr">
        <is>
          <t>2.2 lb</t>
        </is>
      </c>
      <c r="E42" s="15" t="n">
        <v>39.93</v>
      </c>
      <c r="F42" s="24" t="n"/>
      <c r="G42" s="24" t="n"/>
      <c r="H42" s="24" t="n"/>
      <c r="I42" s="19" t="n"/>
      <c r="J42" s="25" t="inlineStr">
        <is>
          <t>par</t>
        </is>
      </c>
      <c r="K42" s="19" t="n"/>
      <c r="L42" s="20">
        <f>IFERROR(N(K42)*E42,0)</f>
        <v/>
      </c>
      <c r="M42" s="21" t="inlineStr">
        <is>
          <t>Qty 2-4 per order.</t>
        </is>
      </c>
    </row>
    <row r="43">
      <c r="A43" s="4" t="inlineStr">
        <is>
          <t>Coconut Sugar</t>
        </is>
      </c>
      <c r="B43" s="4" t="inlineStr">
        <is>
          <t>MADHAVA Organic Coconut Sugar</t>
        </is>
      </c>
      <c r="C43" s="4" t="inlineStr">
        <is>
          <t>Amazon</t>
        </is>
      </c>
      <c r="D43" s="14" t="inlineStr">
        <is>
          <t>6 x 1 lb</t>
        </is>
      </c>
      <c r="E43" s="15" t="n">
        <v>14.26</v>
      </c>
      <c r="F43" s="24" t="n"/>
      <c r="G43" s="24" t="n"/>
      <c r="H43" s="24" t="n"/>
      <c r="I43" s="19" t="n"/>
      <c r="J43" s="25" t="inlineStr">
        <is>
          <t>par</t>
        </is>
      </c>
      <c r="K43" s="19" t="n"/>
      <c r="L43" s="20">
        <f>IFERROR(N(K43)*E43,0)</f>
        <v/>
      </c>
      <c r="M43" s="22" t="inlineStr">
        <is>
          <t>Verify whether $14.26 is the 6-pack or per bag — unusually low for a 6-pack.</t>
        </is>
      </c>
    </row>
    <row r="44">
      <c r="A44" s="4" t="inlineStr">
        <is>
          <t>Graham Crackers</t>
        </is>
      </c>
      <c r="B44" s="4" t="inlineStr">
        <is>
          <t>Annie's Organic Honey Graham Crackers</t>
        </is>
      </c>
      <c r="C44" s="4" t="inlineStr">
        <is>
          <t>Amazon</t>
        </is>
      </c>
      <c r="D44" s="14" t="inlineStr">
        <is>
          <t>14.4 oz</t>
        </is>
      </c>
      <c r="E44" s="15" t="n">
        <v>5</v>
      </c>
      <c r="F44" s="24" t="n"/>
      <c r="G44" s="24" t="n"/>
      <c r="H44" s="24" t="n"/>
      <c r="I44" s="19" t="n"/>
      <c r="J44" s="25" t="inlineStr">
        <is>
          <t>par</t>
        </is>
      </c>
      <c r="K44" s="19" t="n"/>
      <c r="L44" s="20">
        <f>IFERROR(N(K44)*E44,0)</f>
        <v/>
      </c>
      <c r="M44" s="21" t="inlineStr">
        <is>
          <t>Rim / garnish. Confirm which drink or dessert.</t>
        </is>
      </c>
    </row>
    <row r="45">
      <c r="A45" s="12" t="inlineStr">
        <is>
          <t>CAFE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</row>
    <row r="46">
      <c r="A46" s="4" t="inlineStr">
        <is>
          <t>Cacao Nibs</t>
        </is>
      </c>
      <c r="B46" s="4" t="inlineStr">
        <is>
          <t>Anthony's Organic Cacao Cocoa Nibs, Criollo, 2 lb</t>
        </is>
      </c>
      <c r="C46" s="4" t="inlineStr">
        <is>
          <t>Amazon</t>
        </is>
      </c>
      <c r="D46" s="14" t="inlineStr">
        <is>
          <t>907 g</t>
        </is>
      </c>
      <c r="E46" s="15" t="n">
        <v>34.99</v>
      </c>
      <c r="F46" s="16">
        <f>IFERROR(E46/907,"")</f>
        <v/>
      </c>
      <c r="G46" s="24" t="n"/>
      <c r="H46" s="24" t="n"/>
      <c r="I46" s="19" t="n"/>
      <c r="J46" s="25" t="inlineStr">
        <is>
          <t>par</t>
        </is>
      </c>
      <c r="K46" s="19" t="n"/>
      <c r="L46" s="20">
        <f>IFERROR(N(K46)*E46,0)</f>
        <v/>
      </c>
      <c r="M46" s="21" t="inlineStr">
        <is>
          <t>Acai bowl. Cheaper per gram than Viva ($0.0386 vs $0.0427).</t>
        </is>
      </c>
    </row>
    <row r="47">
      <c r="A47" s="4" t="inlineStr">
        <is>
          <t>Cacao Nibs (alt)</t>
        </is>
      </c>
      <c r="B47" s="4" t="inlineStr">
        <is>
          <t>Viva Naturals Organic Cacao Nibs, unsweetened, 1 lb</t>
        </is>
      </c>
      <c r="C47" s="4" t="inlineStr">
        <is>
          <t>Amazon</t>
        </is>
      </c>
      <c r="D47" s="14" t="inlineStr">
        <is>
          <t>454 g</t>
        </is>
      </c>
      <c r="E47" s="15" t="n">
        <v>19.39</v>
      </c>
      <c r="F47" s="16">
        <f>IFERROR(E47/454,"")</f>
        <v/>
      </c>
      <c r="G47" s="24" t="n"/>
      <c r="H47" s="24" t="n"/>
      <c r="I47" s="19" t="n"/>
      <c r="J47" s="25" t="inlineStr">
        <is>
          <t>par</t>
        </is>
      </c>
      <c r="K47" s="19" t="n"/>
      <c r="L47" s="20">
        <f>IFERROR(N(K47)*E47,0)</f>
        <v/>
      </c>
      <c r="M47" s="21" t="inlineStr">
        <is>
          <t>Acai bowl. Second nib SKU — confirm both are needed.</t>
        </is>
      </c>
    </row>
    <row r="48">
      <c r="A48" s="12" t="inlineStr">
        <is>
          <t>UNASSIGNED — bought, but not tied to a recipe. Do not order until confirmed.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</row>
    <row r="49">
      <c r="A49" s="4" t="inlineStr">
        <is>
          <t>Peanut Butter Powder (sweetened)</t>
        </is>
      </c>
      <c r="B49" s="4" t="inlineStr">
        <is>
          <t>Lakanto Peanut Butter Powder, monk-fruit sweetened</t>
        </is>
      </c>
      <c r="C49" s="4" t="inlineStr">
        <is>
          <t>Amazon</t>
        </is>
      </c>
      <c r="D49" s="14" t="inlineStr">
        <is>
          <t>8.5 oz</t>
        </is>
      </c>
      <c r="E49" s="15" t="n">
        <v>13.36</v>
      </c>
      <c r="F49" s="24" t="n"/>
      <c r="G49" s="24" t="n"/>
      <c r="H49" s="24" t="n"/>
      <c r="I49" s="19" t="n"/>
      <c r="J49" s="25" t="inlineStr">
        <is>
          <t>par</t>
        </is>
      </c>
      <c r="K49" s="19" t="n"/>
      <c r="L49" s="20">
        <f>IFERROR(N(K49)*E49,0)</f>
        <v/>
      </c>
      <c r="M49" s="22" t="inlineStr">
        <is>
          <t>NOT the smoothie PB powder. Store apart from prep stock to avoid a mix-up.</t>
        </is>
      </c>
    </row>
    <row r="50">
      <c r="A50" s="4" t="inlineStr">
        <is>
          <t>Collagen Peptides, Unflavored</t>
        </is>
      </c>
      <c r="B50" s="4" t="inlineStr">
        <is>
          <t>Orgain Hydrolyzed Collagen Peptides, Unflavored, 1 lb</t>
        </is>
      </c>
      <c r="C50" s="4" t="inlineStr">
        <is>
          <t>Amazon</t>
        </is>
      </c>
      <c r="D50" s="14" t="inlineStr">
        <is>
          <t>454 g</t>
        </is>
      </c>
      <c r="E50" s="15" t="n">
        <v>21.12</v>
      </c>
      <c r="F50" s="24" t="n"/>
      <c r="G50" s="24" t="n"/>
      <c r="H50" s="24" t="n"/>
      <c r="I50" s="19" t="n"/>
      <c r="J50" s="25" t="inlineStr">
        <is>
          <t>par</t>
        </is>
      </c>
      <c r="K50" s="19" t="n"/>
      <c r="L50" s="20">
        <f>IFERROR(N(K50)*E50,0)</f>
        <v/>
      </c>
      <c r="M50" s="22" t="inlineStr">
        <is>
          <t>Bought 9/21/2026 but appears in no powder prep recipe. Identify the use.</t>
        </is>
      </c>
    </row>
    <row r="51">
      <c r="A51" s="12" t="inlineStr">
        <is>
          <t>IN-HOUSE — NOT AN ORDER LINE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</row>
    <row r="52">
      <c r="A52" s="4" t="inlineStr">
        <is>
          <t>Cinnamon, Ground</t>
        </is>
      </c>
      <c r="B52" s="4" t="inlineStr">
        <is>
          <t>Carried in kitchen stock</t>
        </is>
      </c>
      <c r="C52" s="4" t="inlineStr">
        <is>
          <t>In-house</t>
        </is>
      </c>
      <c r="D52" s="14" t="inlineStr">
        <is>
          <t>—</t>
        </is>
      </c>
      <c r="E52" s="24" t="n"/>
      <c r="F52" s="24" t="n"/>
      <c r="G52" s="17">
        <f>'Recipe Usage'!F24</f>
        <v/>
      </c>
      <c r="H52" s="24" t="n"/>
      <c r="I52" s="24" t="n"/>
      <c r="J52" s="24" t="n"/>
      <c r="K52" s="24" t="n"/>
      <c r="L52" s="24" t="n"/>
      <c r="M52" s="21" t="inlineStr">
        <is>
          <t>Pull from stock. Stays on the prep guide, excluded from ordering.</t>
        </is>
      </c>
    </row>
    <row r="53">
      <c r="A53" s="26" t="inlineStr">
        <is>
          <t>ORDER TOTAL (this location)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8">
        <f>SUM(L6:L52)</f>
        <v/>
      </c>
      <c r="M53" s="27" t="n"/>
    </row>
    <row r="55">
      <c r="A55" s="29" t="inlineStr">
        <is>
          <t>LEGEND</t>
        </is>
      </c>
    </row>
    <row r="56">
      <c r="A56" s="30" t="inlineStr">
        <is>
          <t>Yellow cells = you fill in (On Hand, Order Qty)</t>
        </is>
      </c>
    </row>
    <row r="57">
      <c r="A57" s="31" t="inlineStr">
        <is>
          <t>Blue text = fixed data (pack size, price). Update when prices change.</t>
        </is>
      </c>
    </row>
    <row r="58">
      <c r="A58" s="32" t="inlineStr">
        <is>
          <t>Green text = pulled from the 'Recipe Usage' tab</t>
        </is>
      </c>
    </row>
    <row r="59">
      <c r="A59" s="30" t="inlineStr">
        <is>
          <t>Black text = calculated — do not overwrite</t>
        </is>
      </c>
    </row>
    <row r="60">
      <c r="A60" s="33" t="inlineStr">
        <is>
          <t>Red text = needs a decision. See the 'Notes &amp; Flags' tab.</t>
        </is>
      </c>
    </row>
    <row r="61">
      <c r="A61" s="34" t="inlineStr">
        <is>
          <t>"par" in Suggested = no recipe usage mapped yet; order to par by eye until the recipe lands.</t>
        </is>
      </c>
    </row>
    <row r="63">
      <c r="A63" s="2" t="inlineStr">
        <is>
          <t>EXAMPLE: Chia shows 3 packs/cycle. Enter 1 in On Hand, Suggested reads 2. Enter 2 in Order Qty and Ext. Cost reads $27.94.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6" customWidth="1" min="3" max="3"/>
    <col width="34" customWidth="1" min="4" max="4"/>
    <col width="52" customWidth="1" min="5" max="5"/>
  </cols>
  <sheetData>
    <row r="1">
      <c r="A1" s="1" t="inlineStr">
        <is>
          <t>Notes &amp; Flags — decisions needed before this guide is final</t>
        </is>
      </c>
    </row>
    <row r="3">
      <c r="A3" s="35" t="inlineStr">
        <is>
          <t>#</t>
        </is>
      </c>
      <c r="B3" s="35" t="inlineStr">
        <is>
          <t>Item</t>
        </is>
      </c>
      <c r="C3" s="35" t="inlineStr">
        <is>
          <t>Issue</t>
        </is>
      </c>
      <c r="D3" s="35" t="inlineStr">
        <is>
          <t>Impact</t>
        </is>
      </c>
      <c r="E3" s="35" t="inlineStr">
        <is>
          <t>What's needed</t>
        </is>
      </c>
    </row>
    <row r="4" ht="48" customHeight="1">
      <c r="A4" s="36" t="n">
        <v>1</v>
      </c>
      <c r="B4" s="37" t="inlineStr">
        <is>
          <t>Cocoa Powder</t>
        </is>
      </c>
      <c r="C4" s="38" t="inlineStr">
        <is>
          <t>Keto calls for 100 g cocoa powder. No SKU confirmed. Cacao nibs in order history are cafe-side (acai bowl) and won't pass the fine-mesh sift.</t>
        </is>
      </c>
      <c r="D4" s="38" t="inlineStr">
        <is>
          <t>Keto batch cannot be fully costed or ordered.</t>
        </is>
      </c>
      <c r="E4" s="38" t="inlineStr">
        <is>
          <t>Confirm a milled cocoa powder SKU. Margin Edge has 'Spice, Cocoa Powder' at $1.57/100 g.</t>
        </is>
      </c>
    </row>
    <row r="5" ht="48" customHeight="1">
      <c r="A5" s="36" t="n">
        <v>2</v>
      </c>
      <c r="B5" s="37" t="inlineStr">
        <is>
          <t>Bovine Colostrum</t>
        </is>
      </c>
      <c r="C5" s="38" t="inlineStr">
        <is>
          <t>Recipe 100 g vs 96 g jar — 4 g (4.2%) over forces a second jar and strands 92 g.</t>
        </is>
      </c>
      <c r="D5" s="38" t="inlineStr">
        <is>
          <t>$54.95 per Longevity batch.</t>
        </is>
      </c>
      <c r="E5" s="38" t="inlineStr">
        <is>
          <t>Decide: round the recipe to 96 g, or keep 100 g and accept 2 jars.</t>
        </is>
      </c>
    </row>
    <row r="6" ht="48" customHeight="1">
      <c r="A6" s="36" t="n">
        <v>3</v>
      </c>
      <c r="B6" s="37" t="inlineStr">
        <is>
          <t>Peanut Butter Powder</t>
        </is>
      </c>
      <c r="C6" s="38" t="inlineStr">
        <is>
          <t>Recipe 1,875 g vs 1,814 g bag — 61 g (3.4%) over forces a second bag.</t>
        </is>
      </c>
      <c r="D6" s="38" t="inlineStr">
        <is>
          <t>$28.41 per Keto batch, plus 1,753 g idle.</t>
        </is>
      </c>
      <c r="E6" s="38" t="inlineStr">
        <is>
          <t>Decide: round to 1,814 g (one clean bag) or keep 1,875 g.</t>
        </is>
      </c>
    </row>
    <row r="7" ht="48" customHeight="1">
      <c r="A7" s="36" t="n">
        <v>4</v>
      </c>
      <c r="B7" s="37" t="inlineStr">
        <is>
          <t>Flax Seed</t>
        </is>
      </c>
      <c r="C7" s="38" t="inlineStr">
        <is>
          <t>Slide says 35 g; Margin Edge says 135 g.</t>
        </is>
      </c>
      <c r="D7" s="38" t="inlineStr">
        <is>
          <t>Being Brigid batch weight and cost.</t>
        </is>
      </c>
      <c r="E7" s="38" t="inlineStr">
        <is>
          <t>Confirm the correct quantity. This guide uses 35 g.</t>
        </is>
      </c>
    </row>
    <row r="8" ht="48" customHeight="1">
      <c r="A8" s="36" t="n">
        <v>5</v>
      </c>
      <c r="B8" s="37" t="inlineStr">
        <is>
          <t>BHB Ketones</t>
        </is>
      </c>
      <c r="C8" s="38" t="inlineStr">
        <is>
          <t>Slide says Base Ketones; Margin Edge uses Perfect Keto NOOTROPIC Brain Support.</t>
        </is>
      </c>
      <c r="D8" s="38" t="inlineStr">
        <is>
          <t>Different product at similar price.</t>
        </is>
      </c>
      <c r="E8" s="38" t="inlineStr">
        <is>
          <t>Confirm which product Keto actually uses.</t>
        </is>
      </c>
    </row>
    <row r="9" ht="48" customHeight="1">
      <c r="A9" s="36" t="n">
        <v>6</v>
      </c>
      <c r="B9" s="37" t="inlineStr">
        <is>
          <t>Creatine</t>
        </is>
      </c>
      <c r="C9" s="38" t="inlineStr">
        <is>
          <t>Slides say "liposomal creatine"; the product is micronized creatine MONOHYDRATE.</t>
        </is>
      </c>
      <c r="D9" s="38" t="inlineStr">
        <is>
          <t>Wording only, if monohydrate is intended.</t>
        </is>
      </c>
      <c r="E9" s="38" t="inlineStr">
        <is>
          <t>Reword the slides, or source an actual liposomal product.</t>
        </is>
      </c>
    </row>
    <row r="10" ht="48" customHeight="1">
      <c r="A10" s="36" t="n">
        <v>7</v>
      </c>
      <c r="B10" s="37" t="inlineStr">
        <is>
          <t>Matcha</t>
        </is>
      </c>
      <c r="C10" s="38" t="inlineStr">
        <is>
          <t>This guide uses Sante Ceremonial at $0.297/g. Margin Edge uses a generic matcha at $0.047/g.</t>
        </is>
      </c>
      <c r="D10" s="38" t="inlineStr">
        <is>
          <t>~$13.50 per Being Brigid batch; 6x price difference.</t>
        </is>
      </c>
      <c r="E10" s="38" t="inlineStr">
        <is>
          <t>Confirm whether Being Brigid uses Sante or the generic.</t>
        </is>
      </c>
    </row>
    <row r="11" ht="48" customHeight="1">
      <c r="A11" s="36" t="n">
        <v>8</v>
      </c>
      <c r="B11" s="37" t="inlineStr">
        <is>
          <t>Chocolate Collagen</t>
        </is>
      </c>
      <c r="C11" s="38" t="inlineStr">
        <is>
          <t>Amazon Orgain is a 400 g pack at $2.00/oz. Margin Edge carries a 19.3 oz pack: $2.94/oz Columbus, $1.40/oz Cleveland.</t>
        </is>
      </c>
      <c r="D11" s="38" t="inlineStr">
        <is>
          <t>Up to $163 per Longevity batch between locations.</t>
        </is>
      </c>
      <c r="E11" s="38" t="inlineStr">
        <is>
          <t>Confirm which pack is bought, and why Columbus pays 2.1x Cleveland.</t>
        </is>
      </c>
    </row>
    <row r="12" ht="48" customHeight="1">
      <c r="A12" s="36" t="n">
        <v>9</v>
      </c>
      <c r="B12" s="37" t="inlineStr">
        <is>
          <t>Chia Seeds</t>
        </is>
      </c>
      <c r="C12" s="38" t="inlineStr">
        <is>
          <t>Amazon is $0.44/oz. Margin Edge shows $0.18/oz, bought regularly through 9/8/2026.</t>
        </is>
      </c>
      <c r="D12" s="38" t="inlineStr">
        <is>
          <t>This guide may overstate chia by ~2.4x.</t>
        </is>
      </c>
      <c r="E12" s="38" t="inlineStr">
        <is>
          <t>Confirm whether chia comes from Amazon or a foodservice vendor.</t>
        </is>
      </c>
    </row>
    <row r="13" ht="48" customHeight="1">
      <c r="A13" s="36" t="n">
        <v>10</v>
      </c>
      <c r="B13" s="37" t="inlineStr">
        <is>
          <t>Two locations</t>
        </is>
      </c>
      <c r="C13" s="38" t="inlineStr">
        <is>
          <t>Columbus and Cleveland both run this prep. This sheet is ONE location.</t>
        </is>
      </c>
      <c r="D13" s="38" t="inlineStr">
        <is>
          <t>Doubling gives ~2x cost, but several packs carry 10-46 batches of runway.</t>
        </is>
      </c>
      <c r="E13" s="38" t="inlineStr">
        <is>
          <t>Decide split vs duplicate: per site for fast movers, order once and split for 4+ batch runway.</t>
        </is>
      </c>
    </row>
    <row r="14" ht="48" customHeight="1">
      <c r="A14" s="36" t="n">
        <v>11</v>
      </c>
      <c r="B14" s="37" t="inlineStr">
        <is>
          <t>Batch frequency</t>
        </is>
      </c>
      <c r="C14" s="38" t="inlineStr">
        <is>
          <t>Unknown.</t>
        </is>
      </c>
      <c r="D14" s="38" t="inlineStr">
        <is>
          <t>Cannot convert per-cycle quantities into a reorder cadence or par levels.</t>
        </is>
      </c>
      <c r="E14" s="38" t="inlineStr">
        <is>
          <t>Provide how often each batch is run, per location.</t>
        </is>
      </c>
    </row>
    <row r="15" ht="48" customHeight="1">
      <c r="A15" s="36" t="n">
        <v>12</v>
      </c>
      <c r="B15" s="37" t="inlineStr">
        <is>
          <t>Cocktail usage</t>
        </is>
      </c>
      <c r="C15" s="38" t="inlineStr">
        <is>
          <t>Cocktail, cafe and liquid-mix lines have no grams-per-cycle mapped, so they show "par" instead of a suggested qty.</t>
        </is>
      </c>
      <c r="D15" s="38" t="inlineStr">
        <is>
          <t>Those lines must be ordered by eye until mapped.</t>
        </is>
      </c>
      <c r="E15" s="38" t="inlineStr">
        <is>
          <t>Margin Edge has 23 'TH - Bar Prep' recipes (see Bar Prep Reference tab). Map products to them to make these lines calculate.</t>
        </is>
      </c>
    </row>
    <row r="16" ht="48" customHeight="1">
      <c r="A16" s="36" t="n">
        <v>13</v>
      </c>
      <c r="B16" s="37" t="inlineStr">
        <is>
          <t>Zero-cost products</t>
        </is>
      </c>
      <c r="C16" s="38" t="inlineStr">
        <is>
          <t>Margin Edge prices Coconut Cream, Loose Leaf Chai and Sea Moss at $0.00 in some recipes.</t>
        </is>
      </c>
      <c r="D16" s="38" t="inlineStr">
        <is>
          <t>Bar and liquid-mix recipe costs are understated.</t>
        </is>
      </c>
      <c r="E16" s="38" t="inlineStr">
        <is>
          <t>Add real costs to those products in Margin Edge.</t>
        </is>
      </c>
    </row>
    <row r="17" ht="48" customHeight="1">
      <c r="A17" s="36" t="n">
        <v>14</v>
      </c>
      <c r="B17" s="37" t="inlineStr">
        <is>
          <t>Water costed at Columbus</t>
        </is>
      </c>
      <c r="C17" s="38" t="inlineStr">
        <is>
          <t>Margin Edge charges $42.20 for 110 fl oz of water in Being Brigid Liquid Mix and $12.28 for 32 fl oz in Brewed Chai Tea. Cleveland charges $0.00.</t>
        </is>
      </c>
      <c r="D17" s="38" t="inlineStr">
        <is>
          <t>Inflates every Columbus recipe that includes water.</t>
        </is>
      </c>
      <c r="E17" s="38" t="inlineStr">
        <is>
          <t>Zero out the water product cost at Columbus.</t>
        </is>
      </c>
    </row>
    <row r="18" ht="48" customHeight="1">
      <c r="A18" s="36" t="n">
        <v>15</v>
      </c>
      <c r="B18" s="37" t="inlineStr">
        <is>
          <t>Vanilla Bean Paste</t>
        </is>
      </c>
      <c r="C18" s="38" t="inlineStr">
        <is>
          <t>Qty 10 of a 4 oz jar per order at $17.89 each = $178.90.</t>
        </is>
      </c>
      <c r="D18" s="38" t="inlineStr">
        <is>
          <t>High spend on a small pack format.</t>
        </is>
      </c>
      <c r="E18" s="38" t="inlineStr">
        <is>
          <t>Check whether a larger pack or a food-service vanilla exists.</t>
        </is>
      </c>
    </row>
    <row r="19" ht="48" customHeight="1">
      <c r="A19" s="36" t="n">
        <v>16</v>
      </c>
      <c r="B19" s="37" t="inlineStr">
        <is>
          <t>Coconut Sugar</t>
        </is>
      </c>
      <c r="C19" s="38" t="inlineStr">
        <is>
          <t>$14.26 listed for a 6 x 1 lb pack is unusually low.</t>
        </is>
      </c>
      <c r="D19" s="38" t="inlineStr">
        <is>
          <t>Could be per-bag, making the line 6x this cost.</t>
        </is>
      </c>
      <c r="E19" s="38" t="inlineStr">
        <is>
          <t>Verify pack vs unit pricing before ordering.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4" customWidth="1" min="4" max="4"/>
    <col width="74" customWidth="1" min="5" max="5"/>
  </cols>
  <sheetData>
    <row r="1">
      <c r="A1" s="1" t="inlineStr">
        <is>
          <t>Bar Prep Recipes in Margin Edge (TownHall - Columbus)</t>
        </is>
      </c>
    </row>
    <row r="2">
      <c r="A2" s="2" t="inlineStr">
        <is>
          <t>Pulled 2026-09-29. These are the 23 'TH - Bar Prep' recipes. Mapping order-guide products to these will let the cocktail lines calculate instead of ordering to par.</t>
        </is>
      </c>
    </row>
    <row r="4">
      <c r="A4" s="35" t="inlineStr">
        <is>
          <t>Recipe ID</t>
        </is>
      </c>
      <c r="B4" s="35" t="inlineStr">
        <is>
          <t>Recipe</t>
        </is>
      </c>
      <c r="C4" s="35" t="inlineStr">
        <is>
          <t>Cost</t>
        </is>
      </c>
      <c r="D4" s="35" t="inlineStr">
        <is>
          <t>Yield</t>
        </is>
      </c>
      <c r="E4" s="35" t="inlineStr">
        <is>
          <t>Notes</t>
        </is>
      </c>
    </row>
    <row r="5">
      <c r="A5" s="39" t="n">
        <v>333495432</v>
      </c>
      <c r="B5" s="4" t="inlineStr">
        <is>
          <t>Against Doctor's Orders #1 - Batch</t>
        </is>
      </c>
      <c r="C5" s="15" t="n">
        <v>82.48</v>
      </c>
      <c r="D5" s="40" t="inlineStr">
        <is>
          <t>128 fl oz</t>
        </is>
      </c>
      <c r="E5" s="41" t="inlineStr"/>
    </row>
    <row r="6">
      <c r="A6" s="39" t="n">
        <v>333490741</v>
      </c>
      <c r="B6" s="4" t="inlineStr">
        <is>
          <t>Apple Cinnamon Infused Bacardi</t>
        </is>
      </c>
      <c r="C6" s="15" t="n">
        <v>28.8</v>
      </c>
      <c r="D6" s="40" t="inlineStr">
        <is>
          <t>24.5 fl oz</t>
        </is>
      </c>
      <c r="E6" s="41" t="inlineStr">
        <is>
          <t>Spirit infusion — liquor vendor</t>
        </is>
      </c>
    </row>
    <row r="7">
      <c r="A7" s="39" t="n">
        <v>333478898</v>
      </c>
      <c r="B7" s="4" t="inlineStr">
        <is>
          <t>At Dawn They Sleep - Batch</t>
        </is>
      </c>
      <c r="C7" s="15" t="n">
        <v>25.48</v>
      </c>
      <c r="D7" s="40" t="inlineStr">
        <is>
          <t>34 fl oz</t>
        </is>
      </c>
      <c r="E7" s="41" t="inlineStr"/>
    </row>
    <row r="8">
      <c r="A8" s="39" t="n">
        <v>328403264</v>
      </c>
      <c r="B8" s="4" t="inlineStr">
        <is>
          <t>Bloody Mary Spice Blend</t>
        </is>
      </c>
      <c r="C8" s="15" t="n">
        <v>1</v>
      </c>
      <c r="D8" s="40" t="inlineStr">
        <is>
          <t>8.3 tbsp</t>
        </is>
      </c>
      <c r="E8" s="41" t="inlineStr"/>
    </row>
    <row r="9">
      <c r="A9" s="39" t="n">
        <v>333469888</v>
      </c>
      <c r="B9" s="4" t="inlineStr">
        <is>
          <t>Brewed Chai Tea</t>
        </is>
      </c>
      <c r="C9" s="15" t="n">
        <v>12.91</v>
      </c>
      <c r="D9" s="40" t="inlineStr">
        <is>
          <t>32 fl oz</t>
        </is>
      </c>
      <c r="E9" s="41" t="inlineStr">
        <is>
          <t>USES: Loose Leaf Chai 4 fl oz, Water 32 fl oz, Honey 2 fl oz</t>
        </is>
      </c>
    </row>
    <row r="10">
      <c r="A10" s="39" t="n">
        <v>333468674</v>
      </c>
      <c r="B10" s="4" t="inlineStr">
        <is>
          <t>Channel Orange - Batched</t>
        </is>
      </c>
      <c r="C10" s="15" t="n">
        <v>30.78</v>
      </c>
      <c r="D10" s="40" t="inlineStr">
        <is>
          <t>32 fl oz</t>
        </is>
      </c>
      <c r="E10" s="41" t="inlineStr"/>
    </row>
    <row r="11">
      <c r="A11" s="39" t="n">
        <v>333464610</v>
      </c>
      <c r="B11" s="4" t="inlineStr">
        <is>
          <t>Crash Course - Batched</t>
        </is>
      </c>
      <c r="C11" s="15" t="n">
        <v>26.19</v>
      </c>
      <c r="D11" s="40" t="inlineStr">
        <is>
          <t>32 fl oz</t>
        </is>
      </c>
      <c r="E11" s="41" t="inlineStr"/>
    </row>
    <row r="12">
      <c r="A12" s="39" t="n">
        <v>333504278</v>
      </c>
      <c r="B12" s="4" t="inlineStr">
        <is>
          <t>Dragonwell Infused OYO Vodka</t>
        </is>
      </c>
      <c r="C12" s="15" t="n">
        <v>16.45</v>
      </c>
      <c r="D12" s="40" t="inlineStr">
        <is>
          <t>24 fl oz</t>
        </is>
      </c>
      <c r="E12" s="41" t="inlineStr">
        <is>
          <t>Spirit infusion — liquor vendor</t>
        </is>
      </c>
    </row>
    <row r="13">
      <c r="A13" s="39" t="n">
        <v>333500998</v>
      </c>
      <c r="B13" s="4" t="inlineStr">
        <is>
          <t>Espresso Martini Mix</t>
        </is>
      </c>
      <c r="C13" s="15" t="n">
        <v>3.8</v>
      </c>
      <c r="D13" s="40" t="inlineStr">
        <is>
          <t>25.4 fl oz</t>
        </is>
      </c>
      <c r="E13" s="41" t="inlineStr"/>
    </row>
    <row r="14">
      <c r="A14" s="39" t="n">
        <v>333492968</v>
      </c>
      <c r="B14" s="4" t="inlineStr">
        <is>
          <t>Fall Coconut Cream</t>
        </is>
      </c>
      <c r="C14" s="15" t="n">
        <v>18.14</v>
      </c>
      <c r="D14" s="40" t="inlineStr">
        <is>
          <t>72 fl oz</t>
        </is>
      </c>
      <c r="E14" s="41" t="inlineStr">
        <is>
          <t>USES: Coconut Cream 15 fl oz, Coconut Milk 13.5 fl oz, pineapple, allspice, cinnamon, nutmeg, pom molasses</t>
        </is>
      </c>
    </row>
    <row r="15">
      <c r="A15" s="39" t="n">
        <v>333473987</v>
      </c>
      <c r="B15" s="4" t="inlineStr">
        <is>
          <t>Grapefruit Infused Patron</t>
        </is>
      </c>
      <c r="C15" s="15" t="n">
        <v>0.06</v>
      </c>
      <c r="D15" s="40" t="inlineStr">
        <is>
          <t>1 bottle</t>
        </is>
      </c>
      <c r="E15" s="41" t="inlineStr">
        <is>
          <t>Spirit infusion — cost looks wrong ($0.06)</t>
        </is>
      </c>
    </row>
    <row r="16">
      <c r="A16" s="39" t="n">
        <v>333504038</v>
      </c>
      <c r="B16" s="4" t="inlineStr">
        <is>
          <t>Green Goddess - Batch</t>
        </is>
      </c>
      <c r="C16" s="15" t="n">
        <v>18.55</v>
      </c>
      <c r="D16" s="40" t="inlineStr">
        <is>
          <t>33 fl oz</t>
        </is>
      </c>
      <c r="E16" s="41" t="inlineStr"/>
    </row>
    <row r="17">
      <c r="A17" s="39" t="n">
        <v>525737107</v>
      </c>
      <c r="B17" s="4" t="inlineStr">
        <is>
          <t>Heaven or LV BIZ - TH</t>
        </is>
      </c>
      <c r="C17" s="15" t="n">
        <v>7.28</v>
      </c>
      <c r="D17" s="40" t="inlineStr">
        <is>
          <t>4.5 fl oz</t>
        </is>
      </c>
      <c r="E17" s="41" t="inlineStr"/>
    </row>
    <row r="18">
      <c r="A18" s="39" t="n">
        <v>333481247</v>
      </c>
      <c r="B18" s="4" t="inlineStr">
        <is>
          <t>Jammy Pom Juice</t>
        </is>
      </c>
      <c r="C18" s="15" t="n">
        <v>8.199999999999999</v>
      </c>
      <c r="D18" s="40" t="inlineStr">
        <is>
          <t>35 fl oz</t>
        </is>
      </c>
      <c r="E18" s="41" t="inlineStr"/>
    </row>
    <row r="19">
      <c r="A19" s="39" t="n">
        <v>333486093</v>
      </c>
      <c r="B19" s="4" t="inlineStr">
        <is>
          <t>Lemony Lemon Curd Juice</t>
        </is>
      </c>
      <c r="C19" s="15" t="n">
        <v>2.42</v>
      </c>
      <c r="D19" s="40" t="inlineStr">
        <is>
          <t>25 fl oz</t>
        </is>
      </c>
      <c r="E19" s="41" t="inlineStr"/>
    </row>
    <row r="20">
      <c r="A20" s="39" t="n">
        <v>333470550</v>
      </c>
      <c r="B20" s="4" t="inlineStr">
        <is>
          <t>Pear Chai Tea</t>
        </is>
      </c>
      <c r="C20" s="15" t="n">
        <v>8.880000000000001</v>
      </c>
      <c r="D20" s="40" t="inlineStr">
        <is>
          <t>34 fl oz</t>
        </is>
      </c>
      <c r="E20" s="41" t="inlineStr">
        <is>
          <t>USES: Pear Simple Syrup, Brewed Chai Tea, Lemon Juice</t>
        </is>
      </c>
    </row>
    <row r="21">
      <c r="A21" s="39" t="n">
        <v>333504478</v>
      </c>
      <c r="B21" s="4" t="inlineStr">
        <is>
          <t>Spicy Cucumber Juice</t>
        </is>
      </c>
      <c r="C21" s="15" t="n">
        <v>7.18</v>
      </c>
      <c r="D21" s="40" t="inlineStr">
        <is>
          <t>33.25 fl oz</t>
        </is>
      </c>
      <c r="E21" s="41" t="inlineStr"/>
    </row>
    <row r="22">
      <c r="A22" s="39" t="n">
        <v>333485862</v>
      </c>
      <c r="B22" s="4" t="inlineStr">
        <is>
          <t>Strawberry Infused Bombay Bramble</t>
        </is>
      </c>
      <c r="C22" s="15" t="n">
        <v>22.33</v>
      </c>
      <c r="D22" s="40" t="inlineStr">
        <is>
          <t>24.5 fl oz</t>
        </is>
      </c>
      <c r="E22" s="41" t="inlineStr">
        <is>
          <t>Spirit infusion — liquor vendor</t>
        </is>
      </c>
    </row>
    <row r="23">
      <c r="A23" s="39" t="n">
        <v>333486498</v>
      </c>
      <c r="B23" s="4" t="inlineStr">
        <is>
          <t>Strawberry Kush - Batch</t>
        </is>
      </c>
      <c r="C23" s="15" t="n">
        <v>33.51</v>
      </c>
      <c r="D23" s="40" t="inlineStr">
        <is>
          <t>40 fl oz</t>
        </is>
      </c>
      <c r="E23" s="41" t="inlineStr"/>
    </row>
    <row r="24">
      <c r="A24" s="39" t="n">
        <v>333498796</v>
      </c>
      <c r="B24" s="4" t="inlineStr">
        <is>
          <t>Sweetheart Infused Vodka</t>
        </is>
      </c>
      <c r="C24" s="15" t="n">
        <v>19.72</v>
      </c>
      <c r="D24" s="40" t="inlineStr">
        <is>
          <t>27 fl oz</t>
        </is>
      </c>
      <c r="E24" s="41" t="inlineStr">
        <is>
          <t>Spirit infusion — liquor vendor</t>
        </is>
      </c>
    </row>
    <row r="25">
      <c r="A25" s="39" t="n">
        <v>333504145</v>
      </c>
      <c r="B25" s="4" t="inlineStr">
        <is>
          <t>Syrup, Arugula</t>
        </is>
      </c>
      <c r="C25" s="15" t="n">
        <v>2.8</v>
      </c>
      <c r="D25" s="40" t="inlineStr">
        <is>
          <t>12 fl oz</t>
        </is>
      </c>
      <c r="E25" s="41" t="inlineStr"/>
    </row>
    <row r="26">
      <c r="A26" s="39" t="n">
        <v>333468799</v>
      </c>
      <c r="B26" s="4" t="inlineStr">
        <is>
          <t>Syrup, Pear Simple</t>
        </is>
      </c>
      <c r="C26" s="15" t="n">
        <v>8.470000000000001</v>
      </c>
      <c r="D26" s="40" t="inlineStr">
        <is>
          <t>32 fl oz</t>
        </is>
      </c>
      <c r="E26" s="41" t="inlineStr"/>
    </row>
    <row r="27">
      <c r="A27" s="39" t="n">
        <v>333460643</v>
      </c>
      <c r="B27" s="4" t="inlineStr">
        <is>
          <t>Syrup, Queen of Earl</t>
        </is>
      </c>
      <c r="C27" s="15" t="n">
        <v>6.3</v>
      </c>
      <c r="D27" s="40" t="inlineStr">
        <is>
          <t>16 fl oz</t>
        </is>
      </c>
      <c r="E27" s="41" t="inlineStr"/>
    </row>
    <row r="29">
      <c r="A29" s="9" t="inlineStr">
        <is>
          <t>Only 3 of the 23 had their ingredient lists pulled (noted above). Hibiscus syrups sit under 'TH - Prep', not 'TH - Bar Prep'.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2026-09-29T02:35:54Z</dcterms:created>
  <dcterms:modified xsi:type="dcterms:W3CDTF">2026-09-29T02:35:54Z</dcterms:modified>
</cp:coreProperties>
</file>