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DE 1 - FRONT" sheetId="1" state="visible" r:id="rId3"/>
    <sheet name="SIDE 2 - BACK" sheetId="2" state="visible" r:id="rId4"/>
  </sheets>
  <definedNames>
    <definedName function="false" hidden="false" localSheetId="0" name="_xlnm.Print_Area" vbProcedure="false">'SIDE 1 - FRONT'!$A$1:$K$34</definedName>
    <definedName function="false" hidden="false" localSheetId="1" name="_xlnm.Print_Area" vbProcedure="false">'SIDE 2 - BACK'!$A$1:$K$34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PARs carried over from the original Spring/Summer 2026 taste plate. Change a PAR and NEED updates itself.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Bar tool PARs were not on the original sheet. Set them once (per well plus back-ups) and NEED takes care of the rest.</t>
        </r>
      </text>
    </comment>
  </commentList>
</comments>
</file>

<file path=xl/sharedStrings.xml><?xml version="1.0" encoding="utf-8"?>
<sst xmlns="http://schemas.openxmlformats.org/spreadsheetml/2006/main" count="148" uniqueCount="118">
  <si>
    <t xml:space="preserve">TOWNHALL   |   BAR TASTE PLATE   -   FALL / WINTER 2026</t>
  </si>
  <si>
    <t xml:space="preserve">SIDE 1 of 2      COUNT &amp; ORDER      Batches + Mixers  /  Fresh + Garnish</t>
  </si>
  <si>
    <t xml:space="preserve">DATE</t>
  </si>
  <si>
    <t xml:space="preserve">SHIFT</t>
  </si>
  <si>
    <t xml:space="preserve">COMPLETED BY</t>
  </si>
  <si>
    <t xml:space="preserve">Fill in the YELLOW boxes only.   NEED = PAR minus ON HAND, e.g. PAR 8 + ON HAND 5 = NEED 3.   Gold means make or order more.</t>
  </si>
  <si>
    <t xml:space="preserve">STATUS:   OK = good to go   /   LOW = running out, tell prep   /   86 = out, tell a manager + post in GroupMe</t>
  </si>
  <si>
    <t xml:space="preserve">ITEM</t>
  </si>
  <si>
    <t xml:space="preserve">PAR</t>
  </si>
  <si>
    <t xml:space="preserve">ON
HAND</t>
  </si>
  <si>
    <t xml:space="preserve">NEED</t>
  </si>
  <si>
    <t xml:space="preserve">STATUS</t>
  </si>
  <si>
    <t xml:space="preserve">COCKTAIL BATCHES</t>
  </si>
  <si>
    <t xml:space="preserve">FRESH - COUNT IN SIXTH PANS</t>
  </si>
  <si>
    <t xml:space="preserve">Green Goddess Biz</t>
  </si>
  <si>
    <t xml:space="preserve">Limes</t>
  </si>
  <si>
    <t xml:space="preserve">Spicy Cucumber Biz</t>
  </si>
  <si>
    <t xml:space="preserve">Lemons</t>
  </si>
  <si>
    <t xml:space="preserve">Light My Fire 2.0 Biz</t>
  </si>
  <si>
    <t xml:space="preserve">GARNISH &amp; DRY GOODS</t>
  </si>
  <si>
    <t xml:space="preserve">Turmeric Juice (LMF 2.0) *</t>
  </si>
  <si>
    <t xml:space="preserve">Olives</t>
  </si>
  <si>
    <t xml:space="preserve">-</t>
  </si>
  <si>
    <t xml:space="preserve">No New Friends Biz</t>
  </si>
  <si>
    <t xml:space="preserve">Mint</t>
  </si>
  <si>
    <t xml:space="preserve">Channel Orange Biz</t>
  </si>
  <si>
    <t xml:space="preserve">Parsley</t>
  </si>
  <si>
    <t xml:space="preserve">Pear Chai Biz</t>
  </si>
  <si>
    <t xml:space="preserve">Basil</t>
  </si>
  <si>
    <t xml:space="preserve">Don't Worry About It Sweetheart Biz</t>
  </si>
  <si>
    <t xml:space="preserve">Tarragon</t>
  </si>
  <si>
    <t xml:space="preserve">Cider Mix Biz</t>
  </si>
  <si>
    <t xml:space="preserve">Dehydrated Strawberries</t>
  </si>
  <si>
    <t xml:space="preserve">Chai Hard Biz</t>
  </si>
  <si>
    <t xml:space="preserve">Dried Calendula Flowers</t>
  </si>
  <si>
    <t xml:space="preserve">Pecan Brown Simple</t>
  </si>
  <si>
    <t xml:space="preserve">Thai Chili</t>
  </si>
  <si>
    <t xml:space="preserve">Scarlett Spritz Biz</t>
  </si>
  <si>
    <t xml:space="preserve">Hibiscus Leaves</t>
  </si>
  <si>
    <t xml:space="preserve">JUICES &amp; MIXERS</t>
  </si>
  <si>
    <t xml:space="preserve">Cherries</t>
  </si>
  <si>
    <t xml:space="preserve">Pineapple Juice</t>
  </si>
  <si>
    <t xml:space="preserve">Espresso Beans</t>
  </si>
  <si>
    <t xml:space="preserve">Orange Juice</t>
  </si>
  <si>
    <t xml:space="preserve">Dried Dragonfruit</t>
  </si>
  <si>
    <t xml:space="preserve">Grapefruit Juice</t>
  </si>
  <si>
    <t xml:space="preserve">Dragon Fruit Powder</t>
  </si>
  <si>
    <t xml:space="preserve">Watermelon Juice</t>
  </si>
  <si>
    <t xml:space="preserve">Electrolyte Salt</t>
  </si>
  <si>
    <t xml:space="preserve">House Grenadine</t>
  </si>
  <si>
    <t xml:space="preserve">Jalapenos</t>
  </si>
  <si>
    <t xml:space="preserve">Olive Juice</t>
  </si>
  <si>
    <t xml:space="preserve">Salt</t>
  </si>
  <si>
    <t xml:space="preserve">Simple Syrup</t>
  </si>
  <si>
    <t xml:space="preserve">Sugar</t>
  </si>
  <si>
    <t xml:space="preserve">Lemon Juice</t>
  </si>
  <si>
    <t xml:space="preserve">Angostura Bitters</t>
  </si>
  <si>
    <t xml:space="preserve">Lime Juice</t>
  </si>
  <si>
    <t xml:space="preserve">Bloody Mary Mix</t>
  </si>
  <si>
    <t xml:space="preserve">Espresso</t>
  </si>
  <si>
    <t xml:space="preserve">* Turmeric Juice is for Light My Fire 2.0 - NOT the wellness shot.</t>
  </si>
  <si>
    <t xml:space="preserve">Blank PAR = new item, set its par.   LOW or 86 -&gt; tell prep + a manager.</t>
  </si>
  <si>
    <t xml:space="preserve">TURN OVER  -&gt;  SIDE 2:  BAR TOOLS, SET-UP &amp; DAILY COMMUNICATION</t>
  </si>
  <si>
    <t xml:space="preserve">SIDE 2 of 2      BAR TOOLS, SET-UP &amp; DAILY COMMUNICATION</t>
  </si>
  <si>
    <t xml:space="preserve">BAR TOOL COUNT</t>
  </si>
  <si>
    <t xml:space="preserve">DAILY COMMUNICATION</t>
  </si>
  <si>
    <t xml:space="preserve">TOOL</t>
  </si>
  <si>
    <t xml:space="preserve">COND.</t>
  </si>
  <si>
    <t xml:space="preserve">New drafts poured through at every beer tower?</t>
  </si>
  <si>
    <t xml:space="preserve">Jiggers</t>
  </si>
  <si>
    <t xml:space="preserve">8 oz pour beer taps marked?</t>
  </si>
  <si>
    <t xml:space="preserve">Stir Spoons</t>
  </si>
  <si>
    <t xml:space="preserve">Anything 86'd today?  (list it below)</t>
  </si>
  <si>
    <t xml:space="preserve">Hand Strainers</t>
  </si>
  <si>
    <t xml:space="preserve">Muddlers</t>
  </si>
  <si>
    <t xml:space="preserve">86'd ITEMS  +  NOTES FOR THE NEXT SHIFT</t>
  </si>
  <si>
    <t xml:space="preserve">Scraper</t>
  </si>
  <si>
    <t xml:space="preserve">Strainers</t>
  </si>
  <si>
    <t xml:space="preserve">Double Strainers</t>
  </si>
  <si>
    <t xml:space="preserve">TOOLS SHORT TODAY</t>
  </si>
  <si>
    <t xml:space="preserve">PAR is blank on purpose - set it once with your bar lead.</t>
  </si>
  <si>
    <t xml:space="preserve">BAR SET-UP WALK</t>
  </si>
  <si>
    <t xml:space="preserve">WHAT TO CHECK</t>
  </si>
  <si>
    <t xml:space="preserve">DONE</t>
  </si>
  <si>
    <t xml:space="preserve">Glasses</t>
  </si>
  <si>
    <t xml:space="preserve">Spot check - clean, no chips</t>
  </si>
  <si>
    <t xml:space="preserve">Coolers</t>
  </si>
  <si>
    <t xml:space="preserve">Stocked + clean</t>
  </si>
  <si>
    <t xml:space="preserve">Silverware</t>
  </si>
  <si>
    <t xml:space="preserve">Stocked / full</t>
  </si>
  <si>
    <t xml:space="preserve">Napkins</t>
  </si>
  <si>
    <t xml:space="preserve">Stocked</t>
  </si>
  <si>
    <t xml:space="preserve">Side Plates</t>
  </si>
  <si>
    <t xml:space="preserve">Clean + stocked</t>
  </si>
  <si>
    <t xml:space="preserve">Sriracha</t>
  </si>
  <si>
    <t xml:space="preserve">Wiped clean, enough on hand</t>
  </si>
  <si>
    <t xml:space="preserve">SIGN OFF</t>
  </si>
  <si>
    <t xml:space="preserve">Salt and Pepper</t>
  </si>
  <si>
    <t xml:space="preserve">Full + wiped clean</t>
  </si>
  <si>
    <t xml:space="preserve">Bartender / barback</t>
  </si>
  <si>
    <t xml:space="preserve">Register Paper</t>
  </si>
  <si>
    <t xml:space="preserve">Back-up at each printer</t>
  </si>
  <si>
    <t xml:space="preserve">Time finished</t>
  </si>
  <si>
    <t xml:space="preserve">Ice Scoops</t>
  </si>
  <si>
    <t xml:space="preserve">In place</t>
  </si>
  <si>
    <t xml:space="preserve">Manager verified</t>
  </si>
  <si>
    <t xml:space="preserve">Shaker Tins</t>
  </si>
  <si>
    <t xml:space="preserve">In place at every well</t>
  </si>
  <si>
    <t xml:space="preserve">Pens</t>
  </si>
  <si>
    <t xml:space="preserve">Crowlers</t>
  </si>
  <si>
    <t xml:space="preserve">Labeled + stocked</t>
  </si>
  <si>
    <t xml:space="preserve">Crowler Machine</t>
  </si>
  <si>
    <t xml:space="preserve">Cleaned</t>
  </si>
  <si>
    <t xml:space="preserve">Sharpies</t>
  </si>
  <si>
    <t xml:space="preserve">By crowler machine</t>
  </si>
  <si>
    <t xml:space="preserve">Wine Pourer</t>
  </si>
  <si>
    <t xml:space="preserve">Wine Opener</t>
  </si>
  <si>
    <t xml:space="preserve">EVERY 86'd ITEM:  tell a manager AND post it in GroupMe before you leave the bar.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</si>
</sst>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 BTL&quot;"/>
    <numFmt numFmtId="166" formatCode="0&quot; PAN&quot;"/>
    <numFmt numFmtId="167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.5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color rgb="FF1F3A5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0000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"/>
      <color rgb="FFC2C8D2"/>
      <name val="Arial"/>
      <family val="0"/>
      <charset val="1"/>
    </font>
    <font>
      <b val="true"/>
      <sz val="8.5"/>
      <color rgb="FF9C0006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10"/>
      <name val="Arial"/>
      <family val="2"/>
    </font>
    <font>
      <b val="true"/>
      <sz val="8.5"/>
      <color rgb="FF40404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8.5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404040"/>
      </patternFill>
    </fill>
    <fill>
      <patternFill patternType="solid">
        <fgColor rgb="FF2E6F6A"/>
        <bgColor rgb="FF008080"/>
      </patternFill>
    </fill>
    <fill>
      <patternFill patternType="solid">
        <fgColor rgb="FFFFFDE7"/>
        <bgColor rgb="FFFFFFFF"/>
      </patternFill>
    </fill>
    <fill>
      <patternFill patternType="solid">
        <fgColor rgb="FFEDEFF2"/>
        <bgColor rgb="FFFFFDE7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B7BEC8"/>
      </left>
      <right style="thin">
        <color rgb="FFB7BEC8"/>
      </right>
      <top style="medium">
        <color rgb="FF1F3A5F"/>
      </top>
      <bottom style="medium">
        <color rgb="FF1F3A5F"/>
      </bottom>
      <diagonal/>
    </border>
    <border diagonalUp="false" diagonalDown="false">
      <left style="thin">
        <color rgb="FFB7BEC8"/>
      </left>
      <right style="thin">
        <color rgb="FFB7BEC8"/>
      </right>
      <top style="medium">
        <color rgb="FF1F3A5F"/>
      </top>
      <bottom style="thin">
        <color rgb="FFB7BEC8"/>
      </bottom>
      <diagonal/>
    </border>
    <border diagonalUp="false" diagonalDown="false">
      <left style="thin">
        <color rgb="FFB7BEC8"/>
      </left>
      <right style="thin">
        <color rgb="FFB7BEC8"/>
      </right>
      <top style="thin">
        <color rgb="FFB7BEC8"/>
      </top>
      <bottom style="thin">
        <color rgb="FFB7B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false" indent="1" shrinkToFit="true"/>
      <protection locked="true" hidden="false"/>
    </xf>
    <xf numFmtId="165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  <sz val="9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2E6F6A"/>
      <rgbColor rgb="FFB7BEC8"/>
      <rgbColor rgb="FF808080"/>
      <rgbColor rgb="FF9999FF"/>
      <rgbColor rgb="FF993366"/>
      <rgbColor rgb="FFFFFDE7"/>
      <rgbColor rgb="FFEDEFF2"/>
      <rgbColor rgb="FF660066"/>
      <rgbColor rgb="FFFF8080"/>
      <rgbColor rgb="FF0066CC"/>
      <rgbColor rgb="FFC2C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5"/>
    <col collapsed="false" customWidth="true" hidden="false" outlineLevel="0" max="4" min="2" style="0" width="6.2"/>
    <col collapsed="false" customWidth="true" hidden="false" outlineLevel="0" max="5" min="5" style="0" width="7"/>
    <col collapsed="false" customWidth="true" hidden="false" outlineLevel="0" max="6" min="6" style="0" width="1.2"/>
    <col collapsed="false" customWidth="true" hidden="false" outlineLevel="0" max="7" min="7" style="0" width="21.5"/>
    <col collapsed="false" customWidth="true" hidden="false" outlineLevel="0" max="10" min="8" style="0" width="6.2"/>
    <col collapsed="false" customWidth="true" hidden="false" outlineLevel="0" max="11" min="11" style="0" width="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  <c r="G3" s="3" t="s">
        <v>4</v>
      </c>
      <c r="H3" s="4"/>
      <c r="I3" s="4"/>
      <c r="J3" s="4"/>
      <c r="K3" s="4"/>
    </row>
    <row r="4" customFormat="false" ht="13.5" hidden="false" customHeight="true" outlineLevel="0" collapsed="false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3.5" hidden="false" customHeight="true" outlineLevel="0" collapsed="false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6" hidden="false" customHeight="true" outlineLevel="0" collapsed="false"/>
    <row r="7" customFormat="false" ht="24" hidden="false" customHeight="true" outlineLevel="0" collapsed="false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false" ht="18.75" hidden="false" customHeight="true" outlineLevel="0" collapsed="false">
      <c r="A8" s="7" t="s">
        <v>12</v>
      </c>
      <c r="B8" s="7"/>
      <c r="C8" s="7"/>
      <c r="D8" s="7"/>
      <c r="E8" s="7"/>
      <c r="G8" s="7" t="s">
        <v>13</v>
      </c>
      <c r="H8" s="7"/>
      <c r="I8" s="7"/>
      <c r="J8" s="7"/>
      <c r="K8" s="7"/>
    </row>
    <row r="9" customFormat="false" ht="19.5" hidden="false" customHeight="true" outlineLevel="0" collapsed="false">
      <c r="A9" s="8" t="s">
        <v>14</v>
      </c>
      <c r="B9" s="9" t="n">
        <v>8</v>
      </c>
      <c r="C9" s="10"/>
      <c r="D9" s="11" t="str">
        <f aca="false">IF(OR(B9="",C9=""),"",MAX(0,B9-C9))</f>
        <v/>
      </c>
      <c r="E9" s="12"/>
      <c r="G9" s="8" t="s">
        <v>15</v>
      </c>
      <c r="H9" s="13" t="n">
        <v>8</v>
      </c>
      <c r="I9" s="10"/>
      <c r="J9" s="11" t="str">
        <f aca="false">IF(OR(H9="",I9=""),"",MAX(0,H9-I9))</f>
        <v/>
      </c>
      <c r="K9" s="12"/>
    </row>
    <row r="10" customFormat="false" ht="19.5" hidden="false" customHeight="true" outlineLevel="0" collapsed="false">
      <c r="A10" s="8" t="s">
        <v>16</v>
      </c>
      <c r="B10" s="9" t="n">
        <v>8</v>
      </c>
      <c r="C10" s="10"/>
      <c r="D10" s="11" t="str">
        <f aca="false">IF(OR(B10="",C10=""),"",MAX(0,B10-C10))</f>
        <v/>
      </c>
      <c r="E10" s="12"/>
      <c r="G10" s="8" t="s">
        <v>17</v>
      </c>
      <c r="H10" s="13" t="n">
        <v>8</v>
      </c>
      <c r="I10" s="10"/>
      <c r="J10" s="11" t="str">
        <f aca="false">IF(OR(H10="",I10=""),"",MAX(0,H10-I10))</f>
        <v/>
      </c>
      <c r="K10" s="12"/>
    </row>
    <row r="11" customFormat="false" ht="18.75" hidden="false" customHeight="true" outlineLevel="0" collapsed="false">
      <c r="A11" s="8" t="s">
        <v>18</v>
      </c>
      <c r="B11" s="9" t="n">
        <v>6</v>
      </c>
      <c r="C11" s="10"/>
      <c r="D11" s="11" t="str">
        <f aca="false">IF(OR(B11="",C11=""),"",MAX(0,B11-C11))</f>
        <v/>
      </c>
      <c r="E11" s="12"/>
      <c r="G11" s="7" t="s">
        <v>19</v>
      </c>
      <c r="H11" s="7"/>
      <c r="I11" s="7"/>
      <c r="J11" s="7"/>
      <c r="K11" s="7"/>
    </row>
    <row r="12" customFormat="false" ht="19.5" hidden="false" customHeight="true" outlineLevel="0" collapsed="false">
      <c r="A12" s="8" t="s">
        <v>20</v>
      </c>
      <c r="B12" s="9" t="n">
        <v>6</v>
      </c>
      <c r="C12" s="10"/>
      <c r="D12" s="11" t="str">
        <f aca="false">IF(OR(B12="",C12=""),"",MAX(0,B12-C12))</f>
        <v/>
      </c>
      <c r="E12" s="12"/>
      <c r="G12" s="8" t="s">
        <v>21</v>
      </c>
      <c r="H12" s="14" t="s">
        <v>22</v>
      </c>
      <c r="I12" s="14"/>
      <c r="J12" s="14"/>
      <c r="K12" s="12"/>
    </row>
    <row r="13" customFormat="false" ht="19.5" hidden="false" customHeight="true" outlineLevel="0" collapsed="false">
      <c r="A13" s="8" t="s">
        <v>23</v>
      </c>
      <c r="B13" s="9" t="n">
        <v>6</v>
      </c>
      <c r="C13" s="10"/>
      <c r="D13" s="11" t="str">
        <f aca="false">IF(OR(B13="",C13=""),"",MAX(0,B13-C13))</f>
        <v/>
      </c>
      <c r="E13" s="12"/>
      <c r="G13" s="8" t="s">
        <v>24</v>
      </c>
      <c r="H13" s="14" t="s">
        <v>22</v>
      </c>
      <c r="I13" s="14"/>
      <c r="J13" s="14"/>
      <c r="K13" s="12"/>
    </row>
    <row r="14" customFormat="false" ht="19.5" hidden="false" customHeight="true" outlineLevel="0" collapsed="false">
      <c r="A14" s="8" t="s">
        <v>25</v>
      </c>
      <c r="B14" s="15"/>
      <c r="C14" s="10"/>
      <c r="D14" s="11" t="str">
        <f aca="false">IF(OR(B14="",C14=""),"",MAX(0,B14-C14))</f>
        <v/>
      </c>
      <c r="E14" s="12"/>
      <c r="G14" s="8" t="s">
        <v>26</v>
      </c>
      <c r="H14" s="14" t="s">
        <v>22</v>
      </c>
      <c r="I14" s="14"/>
      <c r="J14" s="14"/>
      <c r="K14" s="12"/>
    </row>
    <row r="15" customFormat="false" ht="19.5" hidden="false" customHeight="true" outlineLevel="0" collapsed="false">
      <c r="A15" s="8" t="s">
        <v>27</v>
      </c>
      <c r="B15" s="15"/>
      <c r="C15" s="10"/>
      <c r="D15" s="11" t="str">
        <f aca="false">IF(OR(B15="",C15=""),"",MAX(0,B15-C15))</f>
        <v/>
      </c>
      <c r="E15" s="12"/>
      <c r="G15" s="8" t="s">
        <v>28</v>
      </c>
      <c r="H15" s="14" t="s">
        <v>22</v>
      </c>
      <c r="I15" s="14"/>
      <c r="J15" s="14"/>
      <c r="K15" s="12"/>
    </row>
    <row r="16" customFormat="false" ht="19.5" hidden="false" customHeight="true" outlineLevel="0" collapsed="false">
      <c r="A16" s="8" t="s">
        <v>29</v>
      </c>
      <c r="B16" s="15"/>
      <c r="C16" s="10"/>
      <c r="D16" s="11" t="str">
        <f aca="false">IF(OR(B16="",C16=""),"",MAX(0,B16-C16))</f>
        <v/>
      </c>
      <c r="E16" s="12"/>
      <c r="G16" s="8" t="s">
        <v>30</v>
      </c>
      <c r="H16" s="14" t="s">
        <v>22</v>
      </c>
      <c r="I16" s="14"/>
      <c r="J16" s="14"/>
      <c r="K16" s="12"/>
    </row>
    <row r="17" customFormat="false" ht="19.5" hidden="false" customHeight="true" outlineLevel="0" collapsed="false">
      <c r="A17" s="8" t="s">
        <v>31</v>
      </c>
      <c r="B17" s="15"/>
      <c r="C17" s="10"/>
      <c r="D17" s="11" t="str">
        <f aca="false">IF(OR(B17="",C17=""),"",MAX(0,B17-C17))</f>
        <v/>
      </c>
      <c r="E17" s="12"/>
      <c r="G17" s="8" t="s">
        <v>32</v>
      </c>
      <c r="H17" s="14" t="s">
        <v>22</v>
      </c>
      <c r="I17" s="14"/>
      <c r="J17" s="14"/>
      <c r="K17" s="12"/>
    </row>
    <row r="18" customFormat="false" ht="19.5" hidden="false" customHeight="true" outlineLevel="0" collapsed="false">
      <c r="A18" s="8" t="s">
        <v>33</v>
      </c>
      <c r="B18" s="15"/>
      <c r="C18" s="10"/>
      <c r="D18" s="11" t="str">
        <f aca="false">IF(OR(B18="",C18=""),"",MAX(0,B18-C18))</f>
        <v/>
      </c>
      <c r="E18" s="12"/>
      <c r="G18" s="8" t="s">
        <v>34</v>
      </c>
      <c r="H18" s="14" t="s">
        <v>22</v>
      </c>
      <c r="I18" s="14"/>
      <c r="J18" s="14"/>
      <c r="K18" s="12"/>
    </row>
    <row r="19" customFormat="false" ht="19.5" hidden="false" customHeight="true" outlineLevel="0" collapsed="false">
      <c r="A19" s="8" t="s">
        <v>35</v>
      </c>
      <c r="B19" s="15"/>
      <c r="C19" s="10"/>
      <c r="D19" s="11" t="str">
        <f aca="false">IF(OR(B19="",C19=""),"",MAX(0,B19-C19))</f>
        <v/>
      </c>
      <c r="E19" s="12"/>
      <c r="G19" s="8" t="s">
        <v>36</v>
      </c>
      <c r="H19" s="14" t="s">
        <v>22</v>
      </c>
      <c r="I19" s="14"/>
      <c r="J19" s="14"/>
      <c r="K19" s="12"/>
    </row>
    <row r="20" customFormat="false" ht="19.5" hidden="false" customHeight="true" outlineLevel="0" collapsed="false">
      <c r="A20" s="8" t="s">
        <v>37</v>
      </c>
      <c r="B20" s="15"/>
      <c r="C20" s="10"/>
      <c r="D20" s="11" t="str">
        <f aca="false">IF(OR(B20="",C20=""),"",MAX(0,B20-C20))</f>
        <v/>
      </c>
      <c r="E20" s="12"/>
      <c r="G20" s="8" t="s">
        <v>38</v>
      </c>
      <c r="H20" s="14" t="s">
        <v>22</v>
      </c>
      <c r="I20" s="14"/>
      <c r="J20" s="14"/>
      <c r="K20" s="12"/>
    </row>
    <row r="21" customFormat="false" ht="19.5" hidden="false" customHeight="true" outlineLevel="0" collapsed="false">
      <c r="A21" s="7" t="s">
        <v>39</v>
      </c>
      <c r="B21" s="7"/>
      <c r="C21" s="7"/>
      <c r="D21" s="7"/>
      <c r="E21" s="7"/>
      <c r="G21" s="8" t="s">
        <v>40</v>
      </c>
      <c r="H21" s="14" t="s">
        <v>22</v>
      </c>
      <c r="I21" s="14"/>
      <c r="J21" s="14"/>
      <c r="K21" s="12"/>
    </row>
    <row r="22" customFormat="false" ht="19.5" hidden="false" customHeight="true" outlineLevel="0" collapsed="false">
      <c r="A22" s="8" t="s">
        <v>41</v>
      </c>
      <c r="B22" s="9" t="n">
        <v>4</v>
      </c>
      <c r="C22" s="10"/>
      <c r="D22" s="11" t="str">
        <f aca="false">IF(OR(B22="",C22=""),"",MAX(0,B22-C22))</f>
        <v/>
      </c>
      <c r="E22" s="12"/>
      <c r="G22" s="8" t="s">
        <v>42</v>
      </c>
      <c r="H22" s="14" t="s">
        <v>22</v>
      </c>
      <c r="I22" s="14"/>
      <c r="J22" s="14"/>
      <c r="K22" s="12"/>
    </row>
    <row r="23" customFormat="false" ht="19.5" hidden="false" customHeight="true" outlineLevel="0" collapsed="false">
      <c r="A23" s="8" t="s">
        <v>43</v>
      </c>
      <c r="B23" s="9" t="n">
        <v>4</v>
      </c>
      <c r="C23" s="10"/>
      <c r="D23" s="11" t="str">
        <f aca="false">IF(OR(B23="",C23=""),"",MAX(0,B23-C23))</f>
        <v/>
      </c>
      <c r="E23" s="12"/>
      <c r="G23" s="8" t="s">
        <v>44</v>
      </c>
      <c r="H23" s="14" t="s">
        <v>22</v>
      </c>
      <c r="I23" s="14"/>
      <c r="J23" s="14"/>
      <c r="K23" s="12"/>
    </row>
    <row r="24" customFormat="false" ht="19.5" hidden="false" customHeight="true" outlineLevel="0" collapsed="false">
      <c r="A24" s="8" t="s">
        <v>45</v>
      </c>
      <c r="B24" s="9" t="n">
        <v>4</v>
      </c>
      <c r="C24" s="10"/>
      <c r="D24" s="11" t="str">
        <f aca="false">IF(OR(B24="",C24=""),"",MAX(0,B24-C24))</f>
        <v/>
      </c>
      <c r="E24" s="12"/>
      <c r="G24" s="8" t="s">
        <v>46</v>
      </c>
      <c r="H24" s="14" t="s">
        <v>22</v>
      </c>
      <c r="I24" s="14"/>
      <c r="J24" s="14"/>
      <c r="K24" s="12"/>
    </row>
    <row r="25" customFormat="false" ht="19.5" hidden="false" customHeight="true" outlineLevel="0" collapsed="false">
      <c r="A25" s="8" t="s">
        <v>47</v>
      </c>
      <c r="B25" s="9" t="n">
        <v>6</v>
      </c>
      <c r="C25" s="10"/>
      <c r="D25" s="11" t="str">
        <f aca="false">IF(OR(B25="",C25=""),"",MAX(0,B25-C25))</f>
        <v/>
      </c>
      <c r="E25" s="12"/>
      <c r="G25" s="8" t="s">
        <v>48</v>
      </c>
      <c r="H25" s="14" t="s">
        <v>22</v>
      </c>
      <c r="I25" s="14"/>
      <c r="J25" s="14"/>
      <c r="K25" s="12"/>
    </row>
    <row r="26" customFormat="false" ht="19.5" hidden="false" customHeight="true" outlineLevel="0" collapsed="false">
      <c r="A26" s="8" t="s">
        <v>49</v>
      </c>
      <c r="B26" s="9" t="n">
        <v>2</v>
      </c>
      <c r="C26" s="10"/>
      <c r="D26" s="11" t="str">
        <f aca="false">IF(OR(B26="",C26=""),"",MAX(0,B26-C26))</f>
        <v/>
      </c>
      <c r="E26" s="12"/>
      <c r="G26" s="8" t="s">
        <v>50</v>
      </c>
      <c r="H26" s="14" t="s">
        <v>22</v>
      </c>
      <c r="I26" s="14"/>
      <c r="J26" s="14"/>
      <c r="K26" s="12"/>
    </row>
    <row r="27" customFormat="false" ht="19.5" hidden="false" customHeight="true" outlineLevel="0" collapsed="false">
      <c r="A27" s="8" t="s">
        <v>51</v>
      </c>
      <c r="B27" s="9" t="n">
        <v>1</v>
      </c>
      <c r="C27" s="10"/>
      <c r="D27" s="11" t="str">
        <f aca="false">IF(OR(B27="",C27=""),"",MAX(0,B27-C27))</f>
        <v/>
      </c>
      <c r="E27" s="12"/>
      <c r="G27" s="8" t="s">
        <v>52</v>
      </c>
      <c r="H27" s="14" t="s">
        <v>22</v>
      </c>
      <c r="I27" s="14"/>
      <c r="J27" s="14"/>
      <c r="K27" s="12"/>
    </row>
    <row r="28" customFormat="false" ht="19.5" hidden="false" customHeight="true" outlineLevel="0" collapsed="false">
      <c r="A28" s="8" t="s">
        <v>53</v>
      </c>
      <c r="B28" s="9" t="n">
        <v>6</v>
      </c>
      <c r="C28" s="10"/>
      <c r="D28" s="11" t="str">
        <f aca="false">IF(OR(B28="",C28=""),"",MAX(0,B28-C28))</f>
        <v/>
      </c>
      <c r="E28" s="12"/>
      <c r="G28" s="8" t="s">
        <v>54</v>
      </c>
      <c r="H28" s="14" t="s">
        <v>22</v>
      </c>
      <c r="I28" s="14"/>
      <c r="J28" s="14"/>
      <c r="K28" s="12"/>
    </row>
    <row r="29" customFormat="false" ht="19.5" hidden="false" customHeight="true" outlineLevel="0" collapsed="false">
      <c r="A29" s="8" t="s">
        <v>55</v>
      </c>
      <c r="B29" s="9" t="n">
        <v>6</v>
      </c>
      <c r="C29" s="10"/>
      <c r="D29" s="11" t="str">
        <f aca="false">IF(OR(B29="",C29=""),"",MAX(0,B29-C29))</f>
        <v/>
      </c>
      <c r="E29" s="12"/>
      <c r="G29" s="8" t="s">
        <v>56</v>
      </c>
      <c r="H29" s="14" t="s">
        <v>22</v>
      </c>
      <c r="I29" s="14"/>
      <c r="J29" s="14"/>
      <c r="K29" s="12"/>
    </row>
    <row r="30" customFormat="false" ht="19.5" hidden="false" customHeight="true" outlineLevel="0" collapsed="false">
      <c r="A30" s="8" t="s">
        <v>57</v>
      </c>
      <c r="B30" s="9" t="n">
        <v>6</v>
      </c>
      <c r="C30" s="10"/>
      <c r="D30" s="11" t="str">
        <f aca="false">IF(OR(B30="",C30=""),"",MAX(0,B30-C30))</f>
        <v/>
      </c>
      <c r="E30" s="12"/>
    </row>
    <row r="31" customFormat="false" ht="19.5" hidden="false" customHeight="true" outlineLevel="0" collapsed="false">
      <c r="A31" s="8" t="s">
        <v>58</v>
      </c>
      <c r="B31" s="9" t="n">
        <v>6</v>
      </c>
      <c r="C31" s="10"/>
      <c r="D31" s="11" t="str">
        <f aca="false">IF(OR(B31="",C31=""),"",MAX(0,B31-C31))</f>
        <v/>
      </c>
      <c r="E31" s="12"/>
    </row>
    <row r="32" customFormat="false" ht="19.5" hidden="false" customHeight="true" outlineLevel="0" collapsed="false">
      <c r="A32" s="8" t="s">
        <v>59</v>
      </c>
      <c r="B32" s="9" t="n">
        <v>4</v>
      </c>
      <c r="C32" s="10"/>
      <c r="D32" s="11" t="str">
        <f aca="false">IF(OR(B32="",C32=""),"",MAX(0,B32-C32))</f>
        <v/>
      </c>
      <c r="E32" s="12"/>
    </row>
    <row r="33" customFormat="false" ht="15.75" hidden="false" customHeight="true" outlineLevel="0" collapsed="false">
      <c r="A33" s="16" t="s">
        <v>60</v>
      </c>
      <c r="B33" s="16"/>
      <c r="C33" s="16"/>
      <c r="D33" s="16"/>
      <c r="E33" s="16"/>
      <c r="G33" s="16" t="s">
        <v>61</v>
      </c>
      <c r="H33" s="16"/>
      <c r="I33" s="16"/>
      <c r="J33" s="16"/>
      <c r="K33" s="16"/>
    </row>
    <row r="34" customFormat="false" ht="18" hidden="false" customHeight="true" outlineLevel="0" collapsed="false">
      <c r="A34" s="17" t="s">
        <v>62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</row>
  </sheetData>
  <mergeCells count="32">
    <mergeCell ref="A1:K1"/>
    <mergeCell ref="A2:K2"/>
    <mergeCell ref="B3:C3"/>
    <mergeCell ref="E3:F3"/>
    <mergeCell ref="H3:K3"/>
    <mergeCell ref="A4:K4"/>
    <mergeCell ref="A5:K5"/>
    <mergeCell ref="A8:E8"/>
    <mergeCell ref="G8:K8"/>
    <mergeCell ref="G11:K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A21:E21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A33:E33"/>
    <mergeCell ref="G33:K33"/>
    <mergeCell ref="A34:K34"/>
  </mergeCells>
  <conditionalFormatting sqref="D9:D32">
    <cfRule type="cellIs" priority="2" operator="greaterThan" aboveAverage="0" equalAverage="0" bottom="0" percent="0" rank="0" text="" dxfId="0">
      <formula>0</formula>
    </cfRule>
  </conditionalFormatting>
  <conditionalFormatting sqref="J9:J10">
    <cfRule type="cellIs" priority="3" operator="greaterThan" aboveAverage="0" equalAverage="0" bottom="0" percent="0" rank="0" text="" dxfId="0">
      <formula>0</formula>
    </cfRule>
  </conditionalFormatting>
  <conditionalFormatting sqref="E9:E32">
    <cfRule type="cellIs" priority="4" operator="equal" aboveAverage="0" equalAverage="0" bottom="0" percent="0" rank="0" text="" dxfId="1">
      <formula>"86"</formula>
    </cfRule>
  </conditionalFormatting>
  <conditionalFormatting sqref="K9:K29">
    <cfRule type="cellIs" priority="5" operator="equal" aboveAverage="0" equalAverage="0" bottom="0" percent="0" rank="0" text="" dxfId="1">
      <formula>"86"</formula>
    </cfRule>
  </conditionalFormatting>
  <dataValidations count="1">
    <dataValidation allowBlank="true" error="Pick one from the drop-down." errorStyle="stop" errorTitle="Not on the list" operator="between" showDropDown="false" showErrorMessage="false" showInputMessage="false" sqref="E9:E30 K9:K29 E31:E32" type="list">
      <formula1>"OK,LOW,86"</formula1>
      <formula2>0</formula2>
    </dataValidation>
  </dataValidations>
  <printOptions headings="false" gridLines="false" gridLinesSet="true" horizontalCentered="true" verticalCentered="false"/>
  <pageMargins left="0.3" right="0.3" top="0.35" bottom="0.35" header="0.511811023622047" footer="0.1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&amp;C&amp;"Arial,Italic"&amp;7 One sheet, printed double-sided (flip on long edge)  -  &amp;A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.5"/>
    <col collapsed="false" customWidth="true" hidden="false" outlineLevel="0" max="4" min="2" style="0" width="6.2"/>
    <col collapsed="false" customWidth="true" hidden="false" outlineLevel="0" max="5" min="5" style="0" width="7"/>
    <col collapsed="false" customWidth="true" hidden="false" outlineLevel="0" max="6" min="6" style="0" width="1.2"/>
    <col collapsed="false" customWidth="true" hidden="false" outlineLevel="0" max="7" min="7" style="0" width="21.5"/>
    <col collapsed="false" customWidth="true" hidden="false" outlineLevel="0" max="10" min="8" style="0" width="6.2"/>
    <col collapsed="false" customWidth="true" hidden="false" outlineLevel="0" max="11" min="11" style="0" width="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8" t="str">
        <f aca="false">"Date: "&amp;IF('SIDE 1 - FRONT'!B3="","__________",'SIDE 1 - FRONT'!B3)&amp;"     Shift: "&amp;IF('SIDE 1 - FRONT'!E3="","______",'SIDE 1 - FRONT'!E3)&amp;"     Completed by: "&amp;IF('SIDE 1 - FRONT'!H3="","__________________",'SIDE 1 - FRONT'!H3)</f>
        <v>Date: __________     Shift: ______     Completed by: __________________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customFormat="false" ht="4.5" hidden="false" customHeight="true" outlineLevel="0" collapsed="false"/>
    <row r="5" customFormat="false" ht="18.75" hidden="false" customHeight="true" outlineLevel="0" collapsed="false">
      <c r="A5" s="7" t="s">
        <v>64</v>
      </c>
      <c r="B5" s="7"/>
      <c r="C5" s="7"/>
      <c r="D5" s="7"/>
      <c r="E5" s="7"/>
      <c r="G5" s="7" t="s">
        <v>65</v>
      </c>
      <c r="H5" s="7"/>
      <c r="I5" s="7"/>
      <c r="J5" s="7"/>
      <c r="K5" s="7"/>
    </row>
    <row r="6" customFormat="false" ht="24" hidden="false" customHeight="true" outlineLevel="0" collapsed="false">
      <c r="A6" s="6" t="s">
        <v>66</v>
      </c>
      <c r="B6" s="6" t="s">
        <v>8</v>
      </c>
      <c r="C6" s="6" t="s">
        <v>9</v>
      </c>
      <c r="D6" s="6" t="s">
        <v>10</v>
      </c>
      <c r="E6" s="6" t="s">
        <v>67</v>
      </c>
      <c r="G6" s="19" t="s">
        <v>68</v>
      </c>
      <c r="H6" s="19"/>
      <c r="I6" s="19"/>
      <c r="J6" s="19"/>
      <c r="K6" s="10"/>
    </row>
    <row r="7" customFormat="false" ht="24" hidden="false" customHeight="true" outlineLevel="0" collapsed="false">
      <c r="A7" s="8" t="s">
        <v>69</v>
      </c>
      <c r="B7" s="20"/>
      <c r="C7" s="10"/>
      <c r="D7" s="11" t="str">
        <f aca="false">IF(OR(B7="",C7=""),"",MAX(0,B7-C7))</f>
        <v/>
      </c>
      <c r="E7" s="12"/>
      <c r="G7" s="19" t="s">
        <v>70</v>
      </c>
      <c r="H7" s="19"/>
      <c r="I7" s="19"/>
      <c r="J7" s="19"/>
      <c r="K7" s="10"/>
    </row>
    <row r="8" customFormat="false" ht="24" hidden="false" customHeight="true" outlineLevel="0" collapsed="false">
      <c r="A8" s="8" t="s">
        <v>71</v>
      </c>
      <c r="B8" s="20"/>
      <c r="C8" s="10"/>
      <c r="D8" s="11" t="str">
        <f aca="false">IF(OR(B8="",C8=""),"",MAX(0,B8-C8))</f>
        <v/>
      </c>
      <c r="E8" s="12"/>
      <c r="G8" s="19" t="s">
        <v>72</v>
      </c>
      <c r="H8" s="19"/>
      <c r="I8" s="19"/>
      <c r="J8" s="19"/>
      <c r="K8" s="10"/>
    </row>
    <row r="9" customFormat="false" ht="21.75" hidden="false" customHeight="true" outlineLevel="0" collapsed="false">
      <c r="A9" s="8" t="s">
        <v>73</v>
      </c>
      <c r="B9" s="20"/>
      <c r="C9" s="10"/>
      <c r="D9" s="11" t="str">
        <f aca="false">IF(OR(B9="",C9=""),"",MAX(0,B9-C9))</f>
        <v/>
      </c>
      <c r="E9" s="12"/>
    </row>
    <row r="10" customFormat="false" ht="18.75" hidden="false" customHeight="true" outlineLevel="0" collapsed="false">
      <c r="A10" s="8" t="s">
        <v>74</v>
      </c>
      <c r="B10" s="20"/>
      <c r="C10" s="10"/>
      <c r="D10" s="11" t="str">
        <f aca="false">IF(OR(B10="",C10=""),"",MAX(0,B10-C10))</f>
        <v/>
      </c>
      <c r="E10" s="12"/>
      <c r="G10" s="7" t="s">
        <v>75</v>
      </c>
      <c r="H10" s="7"/>
      <c r="I10" s="7"/>
      <c r="J10" s="7"/>
      <c r="K10" s="7"/>
    </row>
    <row r="11" customFormat="false" ht="21" hidden="false" customHeight="true" outlineLevel="0" collapsed="false">
      <c r="A11" s="8" t="s">
        <v>76</v>
      </c>
      <c r="B11" s="20"/>
      <c r="C11" s="10"/>
      <c r="D11" s="11" t="str">
        <f aca="false">IF(OR(B11="",C11=""),"",MAX(0,B11-C11))</f>
        <v/>
      </c>
      <c r="E11" s="12"/>
      <c r="G11" s="21"/>
      <c r="H11" s="21"/>
      <c r="I11" s="21"/>
      <c r="J11" s="21"/>
      <c r="K11" s="21"/>
    </row>
    <row r="12" customFormat="false" ht="21" hidden="false" customHeight="true" outlineLevel="0" collapsed="false">
      <c r="A12" s="8" t="s">
        <v>77</v>
      </c>
      <c r="B12" s="20"/>
      <c r="C12" s="10"/>
      <c r="D12" s="11" t="str">
        <f aca="false">IF(OR(B12="",C12=""),"",MAX(0,B12-C12))</f>
        <v/>
      </c>
      <c r="E12" s="12"/>
      <c r="G12" s="21"/>
      <c r="H12" s="21"/>
      <c r="I12" s="21"/>
      <c r="J12" s="21"/>
      <c r="K12" s="21"/>
    </row>
    <row r="13" customFormat="false" ht="21" hidden="false" customHeight="true" outlineLevel="0" collapsed="false">
      <c r="A13" s="8" t="s">
        <v>78</v>
      </c>
      <c r="B13" s="20"/>
      <c r="C13" s="10"/>
      <c r="D13" s="11" t="str">
        <f aca="false">IF(OR(B13="",C13=""),"",MAX(0,B13-C13))</f>
        <v/>
      </c>
      <c r="E13" s="12"/>
      <c r="G13" s="21"/>
      <c r="H13" s="21"/>
      <c r="I13" s="21"/>
      <c r="J13" s="21"/>
      <c r="K13" s="21"/>
    </row>
    <row r="14" customFormat="false" ht="21" hidden="false" customHeight="true" outlineLevel="0" collapsed="false">
      <c r="A14" s="22" t="s">
        <v>79</v>
      </c>
      <c r="B14" s="22"/>
      <c r="C14" s="22"/>
      <c r="D14" s="23" t="n">
        <f aca="false">SUM(D7:D13)</f>
        <v>0</v>
      </c>
      <c r="E14" s="24"/>
      <c r="G14" s="21"/>
      <c r="H14" s="21"/>
      <c r="I14" s="21"/>
      <c r="J14" s="21"/>
      <c r="K14" s="21"/>
    </row>
    <row r="15" customFormat="false" ht="21" hidden="false" customHeight="true" outlineLevel="0" collapsed="false">
      <c r="A15" s="16" t="s">
        <v>80</v>
      </c>
      <c r="B15" s="16"/>
      <c r="C15" s="16"/>
      <c r="D15" s="16"/>
      <c r="E15" s="16"/>
      <c r="G15" s="21"/>
      <c r="H15" s="21"/>
      <c r="I15" s="21"/>
      <c r="J15" s="21"/>
      <c r="K15" s="21"/>
    </row>
    <row r="16" customFormat="false" ht="21" hidden="false" customHeight="true" outlineLevel="0" collapsed="false">
      <c r="A16" s="7" t="s">
        <v>81</v>
      </c>
      <c r="B16" s="7"/>
      <c r="C16" s="7"/>
      <c r="D16" s="7"/>
      <c r="E16" s="7"/>
      <c r="G16" s="21"/>
      <c r="H16" s="21"/>
      <c r="I16" s="21"/>
      <c r="J16" s="21"/>
      <c r="K16" s="21"/>
    </row>
    <row r="17" customFormat="false" ht="21" hidden="false" customHeight="true" outlineLevel="0" collapsed="false">
      <c r="A17" s="6" t="s">
        <v>7</v>
      </c>
      <c r="B17" s="6" t="s">
        <v>82</v>
      </c>
      <c r="C17" s="6"/>
      <c r="D17" s="6"/>
      <c r="E17" s="6" t="s">
        <v>83</v>
      </c>
      <c r="G17" s="21"/>
      <c r="H17" s="21"/>
      <c r="I17" s="21"/>
      <c r="J17" s="21"/>
      <c r="K17" s="21"/>
    </row>
    <row r="18" customFormat="false" ht="21" hidden="false" customHeight="true" outlineLevel="0" collapsed="false">
      <c r="A18" s="25" t="s">
        <v>84</v>
      </c>
      <c r="B18" s="26" t="s">
        <v>85</v>
      </c>
      <c r="C18" s="26"/>
      <c r="D18" s="26"/>
      <c r="E18" s="10"/>
      <c r="G18" s="21"/>
      <c r="H18" s="21"/>
      <c r="I18" s="21"/>
      <c r="J18" s="21"/>
      <c r="K18" s="21"/>
    </row>
    <row r="19" customFormat="false" ht="21" hidden="false" customHeight="true" outlineLevel="0" collapsed="false">
      <c r="A19" s="25" t="s">
        <v>86</v>
      </c>
      <c r="B19" s="26" t="s">
        <v>87</v>
      </c>
      <c r="C19" s="26"/>
      <c r="D19" s="26"/>
      <c r="E19" s="10"/>
      <c r="G19" s="21"/>
      <c r="H19" s="21"/>
      <c r="I19" s="21"/>
      <c r="J19" s="21"/>
      <c r="K19" s="21"/>
    </row>
    <row r="20" customFormat="false" ht="21" hidden="false" customHeight="true" outlineLevel="0" collapsed="false">
      <c r="A20" s="25" t="s">
        <v>88</v>
      </c>
      <c r="B20" s="26" t="s">
        <v>89</v>
      </c>
      <c r="C20" s="26"/>
      <c r="D20" s="26"/>
      <c r="E20" s="10"/>
      <c r="G20" s="21"/>
      <c r="H20" s="21"/>
      <c r="I20" s="21"/>
      <c r="J20" s="21"/>
      <c r="K20" s="21"/>
    </row>
    <row r="21" customFormat="false" ht="21" hidden="false" customHeight="true" outlineLevel="0" collapsed="false">
      <c r="A21" s="25" t="s">
        <v>90</v>
      </c>
      <c r="B21" s="26" t="s">
        <v>91</v>
      </c>
      <c r="C21" s="26"/>
      <c r="D21" s="26"/>
      <c r="E21" s="10"/>
      <c r="G21" s="21"/>
      <c r="H21" s="21"/>
      <c r="I21" s="21"/>
      <c r="J21" s="21"/>
      <c r="K21" s="21"/>
    </row>
    <row r="22" customFormat="false" ht="19.5" hidden="false" customHeight="true" outlineLevel="0" collapsed="false">
      <c r="A22" s="25" t="s">
        <v>92</v>
      </c>
      <c r="B22" s="26" t="s">
        <v>93</v>
      </c>
      <c r="C22" s="26"/>
      <c r="D22" s="26"/>
      <c r="E22" s="10"/>
    </row>
    <row r="23" customFormat="false" ht="18.75" hidden="false" customHeight="true" outlineLevel="0" collapsed="false">
      <c r="A23" s="25" t="s">
        <v>94</v>
      </c>
      <c r="B23" s="26" t="s">
        <v>95</v>
      </c>
      <c r="C23" s="26"/>
      <c r="D23" s="26"/>
      <c r="E23" s="10"/>
      <c r="G23" s="7" t="s">
        <v>96</v>
      </c>
      <c r="H23" s="7"/>
      <c r="I23" s="7"/>
      <c r="J23" s="7"/>
      <c r="K23" s="7"/>
    </row>
    <row r="24" customFormat="false" ht="24" hidden="false" customHeight="true" outlineLevel="0" collapsed="false">
      <c r="A24" s="25" t="s">
        <v>97</v>
      </c>
      <c r="B24" s="26" t="s">
        <v>98</v>
      </c>
      <c r="C24" s="26"/>
      <c r="D24" s="26"/>
      <c r="E24" s="10"/>
      <c r="G24" s="27" t="s">
        <v>99</v>
      </c>
      <c r="H24" s="27"/>
      <c r="I24" s="27"/>
      <c r="J24" s="28"/>
      <c r="K24" s="28"/>
    </row>
    <row r="25" customFormat="false" ht="24" hidden="false" customHeight="true" outlineLevel="0" collapsed="false">
      <c r="A25" s="25" t="s">
        <v>100</v>
      </c>
      <c r="B25" s="26" t="s">
        <v>101</v>
      </c>
      <c r="C25" s="26"/>
      <c r="D25" s="26"/>
      <c r="E25" s="10"/>
      <c r="G25" s="27" t="s">
        <v>102</v>
      </c>
      <c r="H25" s="27"/>
      <c r="I25" s="27"/>
      <c r="J25" s="28"/>
      <c r="K25" s="28"/>
    </row>
    <row r="26" customFormat="false" ht="24" hidden="false" customHeight="true" outlineLevel="0" collapsed="false">
      <c r="A26" s="25" t="s">
        <v>103</v>
      </c>
      <c r="B26" s="26" t="s">
        <v>104</v>
      </c>
      <c r="C26" s="26"/>
      <c r="D26" s="26"/>
      <c r="E26" s="10"/>
      <c r="G26" s="27" t="s">
        <v>105</v>
      </c>
      <c r="H26" s="27"/>
      <c r="I26" s="27"/>
      <c r="J26" s="28"/>
      <c r="K26" s="28"/>
    </row>
    <row r="27" customFormat="false" ht="19.5" hidden="false" customHeight="true" outlineLevel="0" collapsed="false">
      <c r="A27" s="25" t="s">
        <v>106</v>
      </c>
      <c r="B27" s="26" t="s">
        <v>107</v>
      </c>
      <c r="C27" s="26"/>
      <c r="D27" s="26"/>
      <c r="E27" s="10"/>
    </row>
    <row r="28" customFormat="false" ht="19.5" hidden="false" customHeight="true" outlineLevel="0" collapsed="false">
      <c r="A28" s="25" t="s">
        <v>108</v>
      </c>
      <c r="B28" s="26" t="s">
        <v>91</v>
      </c>
      <c r="C28" s="26"/>
      <c r="D28" s="26"/>
      <c r="E28" s="10"/>
    </row>
    <row r="29" customFormat="false" ht="19.5" hidden="false" customHeight="true" outlineLevel="0" collapsed="false">
      <c r="A29" s="25" t="s">
        <v>109</v>
      </c>
      <c r="B29" s="26" t="s">
        <v>110</v>
      </c>
      <c r="C29" s="26"/>
      <c r="D29" s="26"/>
      <c r="E29" s="10"/>
    </row>
    <row r="30" customFormat="false" ht="19.5" hidden="false" customHeight="true" outlineLevel="0" collapsed="false">
      <c r="A30" s="25" t="s">
        <v>111</v>
      </c>
      <c r="B30" s="26" t="s">
        <v>112</v>
      </c>
      <c r="C30" s="26"/>
      <c r="D30" s="26"/>
      <c r="E30" s="10"/>
    </row>
    <row r="31" customFormat="false" ht="19.5" hidden="false" customHeight="true" outlineLevel="0" collapsed="false">
      <c r="A31" s="25" t="s">
        <v>113</v>
      </c>
      <c r="B31" s="26" t="s">
        <v>114</v>
      </c>
      <c r="C31" s="26"/>
      <c r="D31" s="26"/>
      <c r="E31" s="10"/>
    </row>
    <row r="32" customFormat="false" ht="19.5" hidden="false" customHeight="true" outlineLevel="0" collapsed="false">
      <c r="A32" s="25" t="s">
        <v>115</v>
      </c>
      <c r="B32" s="26" t="s">
        <v>104</v>
      </c>
      <c r="C32" s="26"/>
      <c r="D32" s="26"/>
      <c r="E32" s="10"/>
    </row>
    <row r="33" customFormat="false" ht="19.5" hidden="false" customHeight="true" outlineLevel="0" collapsed="false">
      <c r="A33" s="25" t="s">
        <v>116</v>
      </c>
      <c r="B33" s="26" t="s">
        <v>104</v>
      </c>
      <c r="C33" s="26"/>
      <c r="D33" s="26"/>
      <c r="E33" s="10"/>
    </row>
    <row r="34" customFormat="false" ht="18" hidden="false" customHeight="true" outlineLevel="0" collapsed="false">
      <c r="A34" s="16" t="s">
        <v>117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</sheetData>
  <mergeCells count="48">
    <mergeCell ref="A1:K1"/>
    <mergeCell ref="A2:K2"/>
    <mergeCell ref="A3:K3"/>
    <mergeCell ref="A5:E5"/>
    <mergeCell ref="G5:K5"/>
    <mergeCell ref="G6:J6"/>
    <mergeCell ref="G7:J7"/>
    <mergeCell ref="G8:J8"/>
    <mergeCell ref="G10:K10"/>
    <mergeCell ref="G11:K11"/>
    <mergeCell ref="G12:K12"/>
    <mergeCell ref="G13:K13"/>
    <mergeCell ref="A14:C14"/>
    <mergeCell ref="G14:K14"/>
    <mergeCell ref="A15:E15"/>
    <mergeCell ref="G15:K15"/>
    <mergeCell ref="A16:E16"/>
    <mergeCell ref="G16:K16"/>
    <mergeCell ref="B17:D17"/>
    <mergeCell ref="G17:K17"/>
    <mergeCell ref="B18:D18"/>
    <mergeCell ref="G18:K18"/>
    <mergeCell ref="B19:D19"/>
    <mergeCell ref="G19:K19"/>
    <mergeCell ref="B20:D20"/>
    <mergeCell ref="G20:K20"/>
    <mergeCell ref="B21:D21"/>
    <mergeCell ref="G21:K21"/>
    <mergeCell ref="B22:D22"/>
    <mergeCell ref="B23:D23"/>
    <mergeCell ref="G23:K23"/>
    <mergeCell ref="B24:D24"/>
    <mergeCell ref="G24:I24"/>
    <mergeCell ref="J24:K24"/>
    <mergeCell ref="B25:D25"/>
    <mergeCell ref="G25:I25"/>
    <mergeCell ref="J25:K25"/>
    <mergeCell ref="B26:D26"/>
    <mergeCell ref="G26:I26"/>
    <mergeCell ref="J26:K26"/>
    <mergeCell ref="B27:D27"/>
    <mergeCell ref="B28:D28"/>
    <mergeCell ref="B29:D29"/>
    <mergeCell ref="B30:D30"/>
    <mergeCell ref="B31:D31"/>
    <mergeCell ref="B32:D32"/>
    <mergeCell ref="B33:D33"/>
    <mergeCell ref="A34:K34"/>
  </mergeCells>
  <conditionalFormatting sqref="D7:D13">
    <cfRule type="cellIs" priority="2" operator="greaterThan" aboveAverage="0" equalAverage="0" bottom="0" percent="0" rank="0" text="" dxfId="0">
      <formula>0</formula>
    </cfRule>
  </conditionalFormatting>
  <conditionalFormatting sqref="E7:E13">
    <cfRule type="cellIs" priority="3" operator="equal" aboveAverage="0" equalAverage="0" bottom="0" percent="0" rank="0" text="" dxfId="1">
      <formula>"BROKEN"</formula>
    </cfRule>
    <cfRule type="cellIs" priority="4" operator="equal" aboveAverage="0" equalAverage="0" bottom="0" percent="0" rank="0" text="" dxfId="1">
      <formula>"MISSING"</formula>
    </cfRule>
  </conditionalFormatting>
  <conditionalFormatting sqref="E18:E33">
    <cfRule type="cellIs" priority="5" operator="equal" aboveAverage="0" equalAverage="0" bottom="0" percent="0" rank="0" text="" dxfId="1">
      <formula>"NO"</formula>
    </cfRule>
  </conditionalFormatting>
  <conditionalFormatting sqref="K6">
    <cfRule type="cellIs" priority="6" operator="equal" aboveAverage="0" equalAverage="0" bottom="0" percent="0" rank="0" text="" dxfId="1">
      <formula>"NO"</formula>
    </cfRule>
  </conditionalFormatting>
  <conditionalFormatting sqref="K7">
    <cfRule type="cellIs" priority="7" operator="equal" aboveAverage="0" equalAverage="0" bottom="0" percent="0" rank="0" text="" dxfId="1">
      <formula>"NO"</formula>
    </cfRule>
  </conditionalFormatting>
  <conditionalFormatting sqref="K8">
    <cfRule type="cellIs" priority="8" operator="equal" aboveAverage="0" equalAverage="0" bottom="0" percent="0" rank="0" text="" dxfId="0">
      <formula>"YES"</formula>
    </cfRule>
  </conditionalFormatting>
  <dataValidations count="5">
    <dataValidation allowBlank="true" error="Pick one from the drop-down." errorStyle="stop" errorTitle="Not on the list" operator="between" showDropDown="false" showErrorMessage="false" showInputMessage="false" sqref="K6" type="list">
      <formula1>"YES,NO"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K7" type="list">
      <formula1>"YES,NO"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K8" type="list">
      <formula1>"NO,YES"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E7:E13" type="list">
      <formula1>"OK,DIRTY,BROKEN,MISSING"</formula1>
      <formula2>0</formula2>
    </dataValidation>
    <dataValidation allowBlank="true" error="Pick one from the drop-down." errorStyle="stop" errorTitle="Not on the list" operator="between" showDropDown="false" showErrorMessage="false" showInputMessage="false" sqref="E18:E33" type="list">
      <formula1>"YES,NO"</formula1>
      <formula2>0</formula2>
    </dataValidation>
  </dataValidations>
  <printOptions headings="false" gridLines="false" gridLinesSet="true" horizontalCentered="true" verticalCentered="false"/>
  <pageMargins left="0.3" right="0.3" top="0.35" bottom="0.35" header="0.511811023622047" footer="0.1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&amp;C&amp;"Arial,Italic"&amp;7 One sheet, printed double-sided (flip on long edge)  -  &amp;A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2026-09-21T18:43:07Z</dcterms:created>
  <dc:creator>openpyxl</dc:creator>
  <dc:description/>
  <dc:language>en-US</dc:language>
  <cp:lastModifiedBy/>
  <dcterms:modified xsi:type="dcterms:W3CDTF">2026-09-21T18:43:07Z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