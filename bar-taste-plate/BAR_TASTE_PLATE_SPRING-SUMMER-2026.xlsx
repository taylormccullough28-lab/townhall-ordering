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Batches &amp; Mixers" sheetId="1" state="visible" r:id="rId3"/>
    <sheet name="2. Fresh &amp; Garnish" sheetId="2" state="visible" r:id="rId4"/>
    <sheet name="3. Bar Tools" sheetId="3" state="visible" r:id="rId5"/>
    <sheet name="4. Setup &amp; Comms" sheetId="4" state="visible" r:id="rId6"/>
  </sheets>
  <definedNames>
    <definedName function="false" hidden="false" localSheetId="0" name="_xlnm.Print_Area" vbProcedure="false">'1. Batches &amp; Mixers'!$A$1:$F$37</definedName>
    <definedName function="false" hidden="false" localSheetId="1" name="_xlnm.Print_Area" vbProcedure="false">'2. Fresh &amp; Garnish'!$A$1:$F$31</definedName>
    <definedName function="false" hidden="false" localSheetId="2" name="_xlnm.Print_Area" vbProcedure="false">'3. Bar Tools'!$A$1:$F$18</definedName>
    <definedName function="false" hidden="false" localSheetId="3" name="_xlnm.Print_Area" vbProcedure="false">'4. Setup &amp; Comms'!$A$1:$C$42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9" authorId="0">
      <text>
        <r>
          <rPr>
            <sz val="10"/>
            <rFont val="Arial"/>
            <family val="2"/>
          </rPr>
          <t xml:space="preserve">PAR values carried over from the original Spring/Summer 2026 taste plate. Change a PAR here and the NEED column updates itself.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7" authorId="0">
      <text>
        <r>
          <rPr>
            <sz val="10"/>
            <rFont val="Arial"/>
            <family val="2"/>
          </rPr>
          <t xml:space="preserve">Bar tool PARs were not on the original sheet. Set them once (per well + back-ups) and the NEED column takes care of the rest.</t>
        </r>
      </text>
    </comment>
  </commentList>
</comments>
</file>

<file path=xl/sharedStrings.xml><?xml version="1.0" encoding="utf-8"?>
<sst xmlns="http://schemas.openxmlformats.org/spreadsheetml/2006/main" count="169" uniqueCount="127">
  <si>
    <t xml:space="preserve">TOWNHALL  |  BAR TASTE PLATE  -  SPRING / SUMMER 2026</t>
  </si>
  <si>
    <t xml:space="preserve">STEP 1 of 4   BATCHES, COCKTAIL PRODUCTS &amp; MIXERS</t>
  </si>
  <si>
    <t xml:space="preserve">DATE</t>
  </si>
  <si>
    <t xml:space="preserve">SHIFT (AM/PM)</t>
  </si>
  <si>
    <t xml:space="preserve">COMPLETED BY</t>
  </si>
  <si>
    <t xml:space="preserve">Fill in the YELLOW cells only. NEED does the math for you (PAR minus ON HAND) and turns gold when you have to make or order more. TASTED &amp; DATED: OK / LOW / 86.</t>
  </si>
  <si>
    <t xml:space="preserve">ITEM</t>
  </si>
  <si>
    <t xml:space="preserve">PAR</t>
  </si>
  <si>
    <t xml:space="preserve">ON HAND</t>
  </si>
  <si>
    <t xml:space="preserve">NEED</t>
  </si>
  <si>
    <t xml:space="preserve">TASTED &amp;
DATED</t>
  </si>
  <si>
    <t xml:space="preserve">POSTED IN GM /
PREP TOLD</t>
  </si>
  <si>
    <t xml:space="preserve">EXAMPLE - do not count this row</t>
  </si>
  <si>
    <t xml:space="preserve">OK</t>
  </si>
  <si>
    <t xml:space="preserve">N/A</t>
  </si>
  <si>
    <t xml:space="preserve">COCKTAIL PRODUCTS  /  BATCHES</t>
  </si>
  <si>
    <t xml:space="preserve">Green Goddess Biz</t>
  </si>
  <si>
    <t xml:space="preserve">Spicy Cucumber Biz</t>
  </si>
  <si>
    <t xml:space="preserve">Say Less</t>
  </si>
  <si>
    <t xml:space="preserve">Light My Fire 2.0 Biz</t>
  </si>
  <si>
    <t xml:space="preserve">Turmeric Juice (LMF 2.0)</t>
  </si>
  <si>
    <t xml:space="preserve">No New Friends Biz</t>
  </si>
  <si>
    <t xml:space="preserve">Hot Girl Simmer Biz</t>
  </si>
  <si>
    <t xml:space="preserve">Alter Ego Biz</t>
  </si>
  <si>
    <t xml:space="preserve">Coconut Blue Spirulina</t>
  </si>
  <si>
    <t xml:space="preserve">Not Your Average Spritz</t>
  </si>
  <si>
    <t xml:space="preserve">Strawberry Allulose</t>
  </si>
  <si>
    <t xml:space="preserve">Tart Cherry Allulose</t>
  </si>
  <si>
    <t xml:space="preserve">Nitro Espresso Martini</t>
  </si>
  <si>
    <t xml:space="preserve">* Turmeric Juice is for Light My Fire 2.0 - this is NOT the wellness shot.</t>
  </si>
  <si>
    <t xml:space="preserve">JUICES &amp; MIXERS</t>
  </si>
  <si>
    <t xml:space="preserve">Pineapple Juice</t>
  </si>
  <si>
    <t xml:space="preserve">Orange Juice</t>
  </si>
  <si>
    <t xml:space="preserve">Grapefruit Juice</t>
  </si>
  <si>
    <t xml:space="preserve">Watermelon Juice</t>
  </si>
  <si>
    <t xml:space="preserve">House Grenadine</t>
  </si>
  <si>
    <t xml:space="preserve">Olive Juice</t>
  </si>
  <si>
    <t xml:space="preserve">Simple Syrup</t>
  </si>
  <si>
    <t xml:space="preserve">Lemon Juice</t>
  </si>
  <si>
    <t xml:space="preserve">Lime Juice</t>
  </si>
  <si>
    <t xml:space="preserve">Bloody Mary Mix</t>
  </si>
  <si>
    <t xml:space="preserve">Espresso</t>
  </si>
  <si>
    <t xml:space="preserve">86'd ANYTHING? Tell a manager AND post it in GroupMe before you leave the bar.</t>
  </si>
  <si>
    <t xml:space="preserve">STEP 2 of 4   FRESH FRUIT, HERBS &amp; GARNISH</t>
  </si>
  <si>
    <t xml:space="preserve">BARBACKS FILL THIS PAGE OUT. Limes and lemons get counted in sixth pans. Everything else is just a status: OK / LOW / 86. Anything LOW or 86 - tell a manager and post in GroupMe.</t>
  </si>
  <si>
    <t xml:space="preserve">STATUS</t>
  </si>
  <si>
    <t xml:space="preserve">COUNTED - SIXTH PANS</t>
  </si>
  <si>
    <t xml:space="preserve">Limes</t>
  </si>
  <si>
    <t xml:space="preserve">Lemons</t>
  </si>
  <si>
    <t xml:space="preserve">GARNISH &amp; DRY GOODS  -  OK / LOW / 86</t>
  </si>
  <si>
    <t xml:space="preserve">Olives</t>
  </si>
  <si>
    <t xml:space="preserve">-</t>
  </si>
  <si>
    <t xml:space="preserve">Mint</t>
  </si>
  <si>
    <t xml:space="preserve">Parsley</t>
  </si>
  <si>
    <t xml:space="preserve">Basil</t>
  </si>
  <si>
    <t xml:space="preserve">Tarragon</t>
  </si>
  <si>
    <t xml:space="preserve">Dehydrated Strawberries</t>
  </si>
  <si>
    <t xml:space="preserve">Dried Calendula Flowers</t>
  </si>
  <si>
    <t xml:space="preserve">Thai Chili</t>
  </si>
  <si>
    <t xml:space="preserve">Hibiscus Leaves</t>
  </si>
  <si>
    <t xml:space="preserve">Cherries</t>
  </si>
  <si>
    <t xml:space="preserve">Espresso Beans</t>
  </si>
  <si>
    <t xml:space="preserve">Dried Dragonfruit</t>
  </si>
  <si>
    <t xml:space="preserve">Dragon Fruit Powder</t>
  </si>
  <si>
    <t xml:space="preserve">Electrolyte Salt</t>
  </si>
  <si>
    <t xml:space="preserve">Jalapenos</t>
  </si>
  <si>
    <t xml:space="preserve">Salt</t>
  </si>
  <si>
    <t xml:space="preserve">Sugar</t>
  </si>
  <si>
    <t xml:space="preserve">Angostura Bitters</t>
  </si>
  <si>
    <t xml:space="preserve">STEP 3 of 4   BAR TOOL COUNT</t>
  </si>
  <si>
    <t xml:space="preserve">Count every well plus the back-up drawer. PAR is blank on purpose - set it once with your bar lead and it stays put. NEED fills itself in. Use NOTES for anything broken, bent, or walked off.</t>
  </si>
  <si>
    <t xml:space="preserve">TOOL</t>
  </si>
  <si>
    <t xml:space="preserve">CONDITION</t>
  </si>
  <si>
    <t xml:space="preserve">NOTES  (broken / missing / where)</t>
  </si>
  <si>
    <t xml:space="preserve">Jiggers</t>
  </si>
  <si>
    <t xml:space="preserve">Stir Spoons</t>
  </si>
  <si>
    <t xml:space="preserve">Hand Strainers</t>
  </si>
  <si>
    <t xml:space="preserve">Muddlers</t>
  </si>
  <si>
    <t xml:space="preserve">Scraper</t>
  </si>
  <si>
    <t xml:space="preserve">Strainers</t>
  </si>
  <si>
    <t xml:space="preserve">Double Strainers</t>
  </si>
  <si>
    <t xml:space="preserve">TOOLS SHORT TODAY</t>
  </si>
  <si>
    <t xml:space="preserve">Anything short or broken -&gt; tell a manager</t>
  </si>
  <si>
    <t xml:space="preserve">Tools go in the dish pit dirty, not in the trash. A missing jigger is a comp'd drink.</t>
  </si>
  <si>
    <t xml:space="preserve">STEP 4 of 4   BAR SET-UP CHECK + DAILY COMMUNICATION</t>
  </si>
  <si>
    <t xml:space="preserve">Walk the bar, check each line off, then finish the communication box at the bottom.</t>
  </si>
  <si>
    <t xml:space="preserve">WHAT TO CHECK</t>
  </si>
  <si>
    <t xml:space="preserve">DONE</t>
  </si>
  <si>
    <t xml:space="preserve">Glasses</t>
  </si>
  <si>
    <t xml:space="preserve">Spot check - clean, no chips</t>
  </si>
  <si>
    <t xml:space="preserve">Coolers</t>
  </si>
  <si>
    <t xml:space="preserve">Stocked + clean</t>
  </si>
  <si>
    <t xml:space="preserve">Silverware</t>
  </si>
  <si>
    <t xml:space="preserve">Stocked / full</t>
  </si>
  <si>
    <t xml:space="preserve">Napkins</t>
  </si>
  <si>
    <t xml:space="preserve">Stocked</t>
  </si>
  <si>
    <t xml:space="preserve">Side Plates</t>
  </si>
  <si>
    <t xml:space="preserve">Clean + stocked</t>
  </si>
  <si>
    <t xml:space="preserve">Sriracha</t>
  </si>
  <si>
    <t xml:space="preserve">Wiped clean, enough on hand</t>
  </si>
  <si>
    <t xml:space="preserve">Salt and Pepper</t>
  </si>
  <si>
    <t xml:space="preserve">Full + wiped clean</t>
  </si>
  <si>
    <t xml:space="preserve">Register Paper</t>
  </si>
  <si>
    <t xml:space="preserve">Back-up at each printer</t>
  </si>
  <si>
    <t xml:space="preserve">Ice Scoops</t>
  </si>
  <si>
    <t xml:space="preserve">In place</t>
  </si>
  <si>
    <t xml:space="preserve">Shaker Tins</t>
  </si>
  <si>
    <t xml:space="preserve">In place at every well</t>
  </si>
  <si>
    <t xml:space="preserve">Pens</t>
  </si>
  <si>
    <t xml:space="preserve">Crowlers</t>
  </si>
  <si>
    <t xml:space="preserve">Labeled + stocked</t>
  </si>
  <si>
    <t xml:space="preserve">Crowler Machine</t>
  </si>
  <si>
    <t xml:space="preserve">Cleaned</t>
  </si>
  <si>
    <t xml:space="preserve">Sharpies</t>
  </si>
  <si>
    <t xml:space="preserve">By crowler machine</t>
  </si>
  <si>
    <t xml:space="preserve">Wine Pourer</t>
  </si>
  <si>
    <t xml:space="preserve">Wine Opener</t>
  </si>
  <si>
    <t xml:space="preserve">DAILY COMMUNICATION</t>
  </si>
  <si>
    <t xml:space="preserve">New drafts poured through at every beer tower?</t>
  </si>
  <si>
    <t xml:space="preserve">8 oz pour beer taps marked?</t>
  </si>
  <si>
    <t xml:space="preserve">Anything 86'd? (list it below + post in GroupMe)</t>
  </si>
  <si>
    <t xml:space="preserve">86'd ITEMS / NOTES FOR THE NEXT SHIFT</t>
  </si>
  <si>
    <t xml:space="preserve">SIGN OFF</t>
  </si>
  <si>
    <t xml:space="preserve">Bartender / barback</t>
  </si>
  <si>
    <t xml:space="preserve">Time finished</t>
  </si>
  <si>
    <t xml:space="preserve">Manager verified</t>
  </si>
  <si>
    <t xml:space="preserve">A manager must be told about every 86'd item AND it gets posted in GroupMe.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</si>
</sst>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&quot; BTL&quot;"/>
    <numFmt numFmtId="166" formatCode="General"/>
    <numFmt numFmtId="167" formatCode="0&quot; CAMBRO&quot;"/>
    <numFmt numFmtId="168" formatCode="0&quot; PANS&quot;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1F3A5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color rgb="FF808080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9"/>
      <color rgb="FF9C0006"/>
      <name val="Arial"/>
      <family val="0"/>
      <charset val="1"/>
    </font>
    <font>
      <sz val="10"/>
      <name val="Arial"/>
      <family val="2"/>
    </font>
    <font>
      <sz val="9"/>
      <color rgb="FFA6A6A6"/>
      <name val="Arial"/>
      <family val="0"/>
      <charset val="1"/>
    </font>
    <font>
      <b val="true"/>
      <sz val="11"/>
      <color rgb="FF9C0006"/>
      <name val="Arial"/>
      <family val="0"/>
      <charset val="1"/>
    </font>
    <font>
      <sz val="10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404040"/>
      </patternFill>
    </fill>
    <fill>
      <patternFill patternType="solid">
        <fgColor rgb="FF2E6F6A"/>
        <bgColor rgb="FF008080"/>
      </patternFill>
    </fill>
    <fill>
      <patternFill patternType="solid">
        <fgColor rgb="FFFFFDE7"/>
        <bgColor rgb="FFFFFFFF"/>
      </patternFill>
    </fill>
    <fill>
      <patternFill patternType="solid">
        <fgColor rgb="FFF2F2F2"/>
        <bgColor rgb="FFFFFDE7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F3A5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3A5F"/>
      </top>
      <bottom style="medium">
        <color rgb="FF1F3A5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>
        <color rgb="FF1F3A5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1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0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1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0" fillId="0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4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4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9C0006"/>
        <sz val="10"/>
      </font>
      <fill>
        <patternFill>
          <bgColor rgb="FFFFD966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E6F6A"/>
      <rgbColor rgb="FFBFBFBF"/>
      <rgbColor rgb="FF808080"/>
      <rgbColor rgb="FF9999FF"/>
      <rgbColor rgb="FF993366"/>
      <rgbColor rgb="FFFFFDE7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D96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1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16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21.75" hidden="false" customHeight="true" outlineLevel="0" collapsed="false">
      <c r="A2" s="2" t="s">
        <v>1</v>
      </c>
      <c r="B2" s="2"/>
      <c r="C2" s="2"/>
      <c r="D2" s="2"/>
      <c r="E2" s="2"/>
      <c r="F2" s="2"/>
    </row>
    <row r="3" customFormat="false" ht="21.75" hidden="false" customHeight="true" outlineLevel="0" collapsed="false">
      <c r="A3" s="3" t="s">
        <v>2</v>
      </c>
      <c r="B3" s="4"/>
      <c r="C3" s="3" t="s">
        <v>3</v>
      </c>
      <c r="D3" s="4"/>
      <c r="E3" s="3" t="s">
        <v>4</v>
      </c>
      <c r="F3" s="4"/>
    </row>
    <row r="4" customFormat="false" ht="6" hidden="false" customHeight="true" outlineLevel="0" collapsed="false"/>
    <row r="5" customFormat="false" ht="25.5" hidden="false" customHeight="true" outlineLevel="0" collapsed="false">
      <c r="A5" s="5" t="s">
        <v>5</v>
      </c>
      <c r="B5" s="5"/>
      <c r="C5" s="5"/>
      <c r="D5" s="5"/>
      <c r="E5" s="5"/>
      <c r="F5" s="5"/>
    </row>
    <row r="6" customFormat="false" ht="30" hidden="false" customHeight="true" outlineLevel="0" collapsed="false">
      <c r="A6" s="6" t="s">
        <v>6</v>
      </c>
      <c r="B6" s="6" t="s">
        <v>7</v>
      </c>
      <c r="C6" s="6" t="s">
        <v>8</v>
      </c>
      <c r="D6" s="6" t="s">
        <v>9</v>
      </c>
      <c r="E6" s="6" t="s">
        <v>10</v>
      </c>
      <c r="F6" s="6" t="s">
        <v>11</v>
      </c>
    </row>
    <row r="7" customFormat="false" ht="19.5" hidden="false" customHeight="true" outlineLevel="0" collapsed="false">
      <c r="A7" s="7" t="s">
        <v>12</v>
      </c>
      <c r="B7" s="8" t="n">
        <v>8</v>
      </c>
      <c r="C7" s="9" t="n">
        <v>5</v>
      </c>
      <c r="D7" s="10" t="n">
        <f aca="false">IF(C7="","",MAX(0,B7-C7))</f>
        <v>3</v>
      </c>
      <c r="E7" s="11" t="s">
        <v>13</v>
      </c>
      <c r="F7" s="11" t="s">
        <v>14</v>
      </c>
    </row>
    <row r="8" customFormat="false" ht="19.5" hidden="false" customHeight="true" outlineLevel="0" collapsed="false">
      <c r="A8" s="12" t="s">
        <v>15</v>
      </c>
      <c r="B8" s="12"/>
      <c r="C8" s="12"/>
      <c r="D8" s="12"/>
      <c r="E8" s="12"/>
      <c r="F8" s="12"/>
    </row>
    <row r="9" customFormat="false" ht="19.5" hidden="false" customHeight="true" outlineLevel="0" collapsed="false">
      <c r="A9" s="13" t="s">
        <v>16</v>
      </c>
      <c r="B9" s="14" t="n">
        <v>8</v>
      </c>
      <c r="C9" s="15"/>
      <c r="D9" s="16" t="str">
        <f aca="false">IF(C9="","",MAX(0,B9-C9))</f>
        <v/>
      </c>
      <c r="E9" s="17"/>
      <c r="F9" s="17"/>
    </row>
    <row r="10" customFormat="false" ht="19.5" hidden="false" customHeight="true" outlineLevel="0" collapsed="false">
      <c r="A10" s="13" t="s">
        <v>17</v>
      </c>
      <c r="B10" s="14" t="n">
        <v>8</v>
      </c>
      <c r="C10" s="15"/>
      <c r="D10" s="16" t="str">
        <f aca="false">IF(C10="","",MAX(0,B10-C10))</f>
        <v/>
      </c>
      <c r="E10" s="17"/>
      <c r="F10" s="17"/>
    </row>
    <row r="11" customFormat="false" ht="19.5" hidden="false" customHeight="true" outlineLevel="0" collapsed="false">
      <c r="A11" s="13" t="s">
        <v>18</v>
      </c>
      <c r="B11" s="14" t="n">
        <v>6</v>
      </c>
      <c r="C11" s="15"/>
      <c r="D11" s="16" t="str">
        <f aca="false">IF(C11="","",MAX(0,B11-C11))</f>
        <v/>
      </c>
      <c r="E11" s="17"/>
      <c r="F11" s="17"/>
    </row>
    <row r="12" customFormat="false" ht="19.5" hidden="false" customHeight="true" outlineLevel="0" collapsed="false">
      <c r="A12" s="13" t="s">
        <v>19</v>
      </c>
      <c r="B12" s="14" t="n">
        <v>6</v>
      </c>
      <c r="C12" s="15"/>
      <c r="D12" s="16" t="str">
        <f aca="false">IF(C12="","",MAX(0,B12-C12))</f>
        <v/>
      </c>
      <c r="E12" s="17"/>
      <c r="F12" s="17"/>
    </row>
    <row r="13" customFormat="false" ht="19.5" hidden="false" customHeight="true" outlineLevel="0" collapsed="false">
      <c r="A13" s="13" t="s">
        <v>20</v>
      </c>
      <c r="B13" s="14" t="n">
        <v>6</v>
      </c>
      <c r="C13" s="15"/>
      <c r="D13" s="16" t="str">
        <f aca="false">IF(C13="","",MAX(0,B13-C13))</f>
        <v/>
      </c>
      <c r="E13" s="17"/>
      <c r="F13" s="17"/>
    </row>
    <row r="14" customFormat="false" ht="19.5" hidden="false" customHeight="true" outlineLevel="0" collapsed="false">
      <c r="A14" s="13" t="s">
        <v>21</v>
      </c>
      <c r="B14" s="14" t="n">
        <v>6</v>
      </c>
      <c r="C14" s="15"/>
      <c r="D14" s="16" t="str">
        <f aca="false">IF(C14="","",MAX(0,B14-C14))</f>
        <v/>
      </c>
      <c r="E14" s="17"/>
      <c r="F14" s="17"/>
    </row>
    <row r="15" customFormat="false" ht="19.5" hidden="false" customHeight="true" outlineLevel="0" collapsed="false">
      <c r="A15" s="13" t="s">
        <v>22</v>
      </c>
      <c r="B15" s="14" t="n">
        <v>6</v>
      </c>
      <c r="C15" s="15"/>
      <c r="D15" s="16" t="str">
        <f aca="false">IF(C15="","",MAX(0,B15-C15))</f>
        <v/>
      </c>
      <c r="E15" s="17"/>
      <c r="F15" s="17"/>
    </row>
    <row r="16" customFormat="false" ht="19.5" hidden="false" customHeight="true" outlineLevel="0" collapsed="false">
      <c r="A16" s="13" t="s">
        <v>23</v>
      </c>
      <c r="B16" s="14" t="n">
        <v>6</v>
      </c>
      <c r="C16" s="15"/>
      <c r="D16" s="16" t="str">
        <f aca="false">IF(C16="","",MAX(0,B16-C16))</f>
        <v/>
      </c>
      <c r="E16" s="17"/>
      <c r="F16" s="17"/>
    </row>
    <row r="17" customFormat="false" ht="19.5" hidden="false" customHeight="true" outlineLevel="0" collapsed="false">
      <c r="A17" s="13" t="s">
        <v>24</v>
      </c>
      <c r="B17" s="14" t="n">
        <v>6</v>
      </c>
      <c r="C17" s="15"/>
      <c r="D17" s="16" t="str">
        <f aca="false">IF(C17="","",MAX(0,B17-C17))</f>
        <v/>
      </c>
      <c r="E17" s="17"/>
      <c r="F17" s="17"/>
    </row>
    <row r="18" customFormat="false" ht="19.5" hidden="false" customHeight="true" outlineLevel="0" collapsed="false">
      <c r="A18" s="13" t="s">
        <v>25</v>
      </c>
      <c r="B18" s="14" t="n">
        <v>6</v>
      </c>
      <c r="C18" s="15"/>
      <c r="D18" s="16" t="str">
        <f aca="false">IF(C18="","",MAX(0,B18-C18))</f>
        <v/>
      </c>
      <c r="E18" s="17"/>
      <c r="F18" s="17"/>
    </row>
    <row r="19" customFormat="false" ht="19.5" hidden="false" customHeight="true" outlineLevel="0" collapsed="false">
      <c r="A19" s="13" t="s">
        <v>26</v>
      </c>
      <c r="B19" s="14" t="n">
        <v>6</v>
      </c>
      <c r="C19" s="15"/>
      <c r="D19" s="16" t="str">
        <f aca="false">IF(C19="","",MAX(0,B19-C19))</f>
        <v/>
      </c>
      <c r="E19" s="17"/>
      <c r="F19" s="17"/>
    </row>
    <row r="20" customFormat="false" ht="19.5" hidden="false" customHeight="true" outlineLevel="0" collapsed="false">
      <c r="A20" s="13" t="s">
        <v>27</v>
      </c>
      <c r="B20" s="14" t="n">
        <v>3</v>
      </c>
      <c r="C20" s="15"/>
      <c r="D20" s="16" t="str">
        <f aca="false">IF(C20="","",MAX(0,B20-C20))</f>
        <v/>
      </c>
      <c r="E20" s="17"/>
      <c r="F20" s="17"/>
    </row>
    <row r="21" customFormat="false" ht="19.5" hidden="false" customHeight="true" outlineLevel="0" collapsed="false">
      <c r="A21" s="13" t="s">
        <v>28</v>
      </c>
      <c r="B21" s="18" t="n">
        <v>1</v>
      </c>
      <c r="C21" s="15"/>
      <c r="D21" s="16" t="str">
        <f aca="false">IF(C21="","",MAX(0,B21-C21))</f>
        <v/>
      </c>
      <c r="E21" s="17"/>
      <c r="F21" s="17"/>
    </row>
    <row r="22" customFormat="false" ht="18" hidden="false" customHeight="true" outlineLevel="0" collapsed="false">
      <c r="A22" s="19" t="s">
        <v>29</v>
      </c>
      <c r="B22" s="19"/>
      <c r="C22" s="19"/>
      <c r="D22" s="19"/>
      <c r="E22" s="19"/>
      <c r="F22" s="19"/>
    </row>
    <row r="23" customFormat="false" ht="19.5" hidden="false" customHeight="true" outlineLevel="0" collapsed="false">
      <c r="A23" s="12" t="s">
        <v>30</v>
      </c>
      <c r="B23" s="12"/>
      <c r="C23" s="12"/>
      <c r="D23" s="12"/>
      <c r="E23" s="12"/>
      <c r="F23" s="12"/>
    </row>
    <row r="24" customFormat="false" ht="19.5" hidden="false" customHeight="true" outlineLevel="0" collapsed="false">
      <c r="A24" s="13" t="s">
        <v>31</v>
      </c>
      <c r="B24" s="14" t="n">
        <v>4</v>
      </c>
      <c r="C24" s="15"/>
      <c r="D24" s="16" t="str">
        <f aca="false">IF(C24="","",MAX(0,B24-C24))</f>
        <v/>
      </c>
      <c r="E24" s="17"/>
      <c r="F24" s="17"/>
    </row>
    <row r="25" customFormat="false" ht="19.5" hidden="false" customHeight="true" outlineLevel="0" collapsed="false">
      <c r="A25" s="13" t="s">
        <v>32</v>
      </c>
      <c r="B25" s="14" t="n">
        <v>4</v>
      </c>
      <c r="C25" s="15"/>
      <c r="D25" s="16" t="str">
        <f aca="false">IF(C25="","",MAX(0,B25-C25))</f>
        <v/>
      </c>
      <c r="E25" s="17"/>
      <c r="F25" s="17"/>
    </row>
    <row r="26" customFormat="false" ht="19.5" hidden="false" customHeight="true" outlineLevel="0" collapsed="false">
      <c r="A26" s="13" t="s">
        <v>33</v>
      </c>
      <c r="B26" s="14" t="n">
        <v>4</v>
      </c>
      <c r="C26" s="15"/>
      <c r="D26" s="16" t="str">
        <f aca="false">IF(C26="","",MAX(0,B26-C26))</f>
        <v/>
      </c>
      <c r="E26" s="17"/>
      <c r="F26" s="17"/>
    </row>
    <row r="27" customFormat="false" ht="19.5" hidden="false" customHeight="true" outlineLevel="0" collapsed="false">
      <c r="A27" s="13" t="s">
        <v>34</v>
      </c>
      <c r="B27" s="14" t="n">
        <v>6</v>
      </c>
      <c r="C27" s="15"/>
      <c r="D27" s="16" t="str">
        <f aca="false">IF(C27="","",MAX(0,B27-C27))</f>
        <v/>
      </c>
      <c r="E27" s="17"/>
      <c r="F27" s="17"/>
    </row>
    <row r="28" customFormat="false" ht="19.5" hidden="false" customHeight="true" outlineLevel="0" collapsed="false">
      <c r="A28" s="13" t="s">
        <v>35</v>
      </c>
      <c r="B28" s="14" t="n">
        <v>2</v>
      </c>
      <c r="C28" s="15"/>
      <c r="D28" s="16" t="str">
        <f aca="false">IF(C28="","",MAX(0,B28-C28))</f>
        <v/>
      </c>
      <c r="E28" s="17"/>
      <c r="F28" s="17"/>
    </row>
    <row r="29" customFormat="false" ht="19.5" hidden="false" customHeight="true" outlineLevel="0" collapsed="false">
      <c r="A29" s="13" t="s">
        <v>36</v>
      </c>
      <c r="B29" s="14" t="n">
        <v>1</v>
      </c>
      <c r="C29" s="15"/>
      <c r="D29" s="16" t="str">
        <f aca="false">IF(C29="","",MAX(0,B29-C29))</f>
        <v/>
      </c>
      <c r="E29" s="17"/>
      <c r="F29" s="17"/>
    </row>
    <row r="30" customFormat="false" ht="19.5" hidden="false" customHeight="true" outlineLevel="0" collapsed="false">
      <c r="A30" s="13" t="s">
        <v>37</v>
      </c>
      <c r="B30" s="14" t="n">
        <v>6</v>
      </c>
      <c r="C30" s="15"/>
      <c r="D30" s="16" t="str">
        <f aca="false">IF(C30="","",MAX(0,B30-C30))</f>
        <v/>
      </c>
      <c r="E30" s="17"/>
      <c r="F30" s="17"/>
    </row>
    <row r="31" customFormat="false" ht="19.5" hidden="false" customHeight="true" outlineLevel="0" collapsed="false">
      <c r="A31" s="13" t="s">
        <v>38</v>
      </c>
      <c r="B31" s="14" t="n">
        <v>6</v>
      </c>
      <c r="C31" s="15"/>
      <c r="D31" s="16" t="str">
        <f aca="false">IF(C31="","",MAX(0,B31-C31))</f>
        <v/>
      </c>
      <c r="E31" s="17"/>
      <c r="F31" s="17"/>
    </row>
    <row r="32" customFormat="false" ht="19.5" hidden="false" customHeight="true" outlineLevel="0" collapsed="false">
      <c r="A32" s="13" t="s">
        <v>39</v>
      </c>
      <c r="B32" s="14" t="n">
        <v>6</v>
      </c>
      <c r="C32" s="15"/>
      <c r="D32" s="16" t="str">
        <f aca="false">IF(C32="","",MAX(0,B32-C32))</f>
        <v/>
      </c>
      <c r="E32" s="17"/>
      <c r="F32" s="17"/>
    </row>
    <row r="33" customFormat="false" ht="19.5" hidden="false" customHeight="true" outlineLevel="0" collapsed="false">
      <c r="A33" s="13" t="s">
        <v>40</v>
      </c>
      <c r="B33" s="14" t="n">
        <v>6</v>
      </c>
      <c r="C33" s="15"/>
      <c r="D33" s="16" t="str">
        <f aca="false">IF(C33="","",MAX(0,B33-C33))</f>
        <v/>
      </c>
      <c r="E33" s="17"/>
      <c r="F33" s="17"/>
    </row>
    <row r="34" customFormat="false" ht="19.5" hidden="false" customHeight="true" outlineLevel="0" collapsed="false">
      <c r="A34" s="13" t="s">
        <v>41</v>
      </c>
      <c r="B34" s="14" t="n">
        <v>4</v>
      </c>
      <c r="C34" s="15"/>
      <c r="D34" s="16" t="str">
        <f aca="false">IF(C34="","",MAX(0,B34-C34))</f>
        <v/>
      </c>
      <c r="E34" s="17"/>
      <c r="F34" s="17"/>
    </row>
    <row r="36" customFormat="false" ht="18" hidden="false" customHeight="true" outlineLevel="0" collapsed="false">
      <c r="A36" s="19" t="s">
        <v>42</v>
      </c>
      <c r="B36" s="19"/>
      <c r="C36" s="19"/>
      <c r="D36" s="19"/>
      <c r="E36" s="19"/>
      <c r="F36" s="19"/>
    </row>
  </sheetData>
  <mergeCells count="7">
    <mergeCell ref="A1:F1"/>
    <mergeCell ref="A2:F2"/>
    <mergeCell ref="A5:F5"/>
    <mergeCell ref="A8:F8"/>
    <mergeCell ref="A22:F22"/>
    <mergeCell ref="A23:F23"/>
    <mergeCell ref="A36:F36"/>
  </mergeCells>
  <conditionalFormatting sqref="D9:D34">
    <cfRule type="cellIs" priority="2" operator="greaterThan" aboveAverage="0" equalAverage="0" bottom="0" percent="0" rank="0" text="" dxfId="0">
      <formula>0</formula>
    </cfRule>
  </conditionalFormatting>
  <conditionalFormatting sqref="E9:E34">
    <cfRule type="cellIs" priority="3" operator="equal" aboveAverage="0" equalAverage="0" bottom="0" percent="0" rank="0" text="" dxfId="1">
      <formula>"86"</formula>
    </cfRule>
  </conditionalFormatting>
  <dataValidations count="2">
    <dataValidation allowBlank="true" error="Pick one from the drop-down." errorStyle="stop" errorTitle="Not on the list" operator="between" showDropDown="false" showErrorMessage="false" showInputMessage="false" sqref="E9:E21 E24:E34" type="list">
      <formula1>"OK,LOW,86"</formula1>
      <formula2>0</formula2>
    </dataValidation>
    <dataValidation allowBlank="true" error="Pick one from the drop-down." errorStyle="stop" errorTitle="Not on the list" operator="between" showDropDown="false" showErrorMessage="false" showInputMessage="false" sqref="F9:F21 F24:F34" type="list">
      <formula1>"YES,NO,N/A"</formula1>
      <formula2>0</formula2>
    </dataValidation>
  </dataValidations>
  <printOptions headings="false" gridLines="false" gridLinesSet="true" horizontalCentered="true" verticalCentered="false"/>
  <pageMargins left="0.4" right="0.4" top="0.45" bottom="0.4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1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16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21.75" hidden="false" customHeight="true" outlineLevel="0" collapsed="false">
      <c r="A2" s="2" t="s">
        <v>43</v>
      </c>
      <c r="B2" s="2"/>
      <c r="C2" s="2"/>
      <c r="D2" s="2"/>
      <c r="E2" s="2"/>
      <c r="F2" s="2"/>
    </row>
    <row r="3" customFormat="false" ht="21.75" hidden="false" customHeight="true" outlineLevel="0" collapsed="false">
      <c r="A3" s="3" t="s">
        <v>2</v>
      </c>
      <c r="B3" s="4" t="str">
        <f aca="false">IF('1. Batches &amp; Mixers'!$B$3="","",'1. Batches &amp; Mixers'!$B$3)</f>
        <v/>
      </c>
      <c r="C3" s="3" t="s">
        <v>3</v>
      </c>
      <c r="D3" s="4" t="str">
        <f aca="false">IF('1. Batches &amp; Mixers'!$D$3="","",'1. Batches &amp; Mixers'!$D$3)</f>
        <v/>
      </c>
      <c r="E3" s="3" t="s">
        <v>4</v>
      </c>
      <c r="F3" s="4" t="str">
        <f aca="false">IF('1. Batches &amp; Mixers'!$F$3="","",'1. Batches &amp; Mixers'!$F$3)</f>
        <v/>
      </c>
    </row>
    <row r="4" customFormat="false" ht="6" hidden="false" customHeight="true" outlineLevel="0" collapsed="false"/>
    <row r="5" customFormat="false" ht="25.5" hidden="false" customHeight="true" outlineLevel="0" collapsed="false">
      <c r="A5" s="5" t="s">
        <v>44</v>
      </c>
      <c r="B5" s="5"/>
      <c r="C5" s="5"/>
      <c r="D5" s="5"/>
      <c r="E5" s="5"/>
      <c r="F5" s="5"/>
    </row>
    <row r="6" customFormat="false" ht="30" hidden="false" customHeight="true" outlineLevel="0" collapsed="false">
      <c r="A6" s="6" t="s">
        <v>6</v>
      </c>
      <c r="B6" s="6" t="s">
        <v>7</v>
      </c>
      <c r="C6" s="6" t="s">
        <v>8</v>
      </c>
      <c r="D6" s="6" t="s">
        <v>9</v>
      </c>
      <c r="E6" s="6" t="s">
        <v>45</v>
      </c>
      <c r="F6" s="6" t="s">
        <v>11</v>
      </c>
    </row>
    <row r="7" customFormat="false" ht="19.5" hidden="false" customHeight="true" outlineLevel="0" collapsed="false">
      <c r="A7" s="12" t="s">
        <v>46</v>
      </c>
      <c r="B7" s="12"/>
      <c r="C7" s="12"/>
      <c r="D7" s="12"/>
      <c r="E7" s="12"/>
      <c r="F7" s="12"/>
    </row>
    <row r="8" customFormat="false" ht="19.5" hidden="false" customHeight="true" outlineLevel="0" collapsed="false">
      <c r="A8" s="13" t="s">
        <v>47</v>
      </c>
      <c r="B8" s="20" t="n">
        <v>8</v>
      </c>
      <c r="C8" s="15"/>
      <c r="D8" s="16" t="str">
        <f aca="false">IF(C8="","",MAX(0,B8-C8))</f>
        <v/>
      </c>
      <c r="E8" s="17"/>
      <c r="F8" s="17"/>
    </row>
    <row r="9" customFormat="false" ht="19.5" hidden="false" customHeight="true" outlineLevel="0" collapsed="false">
      <c r="A9" s="13" t="s">
        <v>48</v>
      </c>
      <c r="B9" s="20" t="n">
        <v>8</v>
      </c>
      <c r="C9" s="15"/>
      <c r="D9" s="16" t="str">
        <f aca="false">IF(C9="","",MAX(0,B9-C9))</f>
        <v/>
      </c>
      <c r="E9" s="17"/>
      <c r="F9" s="17"/>
    </row>
    <row r="10" customFormat="false" ht="19.5" hidden="false" customHeight="true" outlineLevel="0" collapsed="false">
      <c r="A10" s="12" t="s">
        <v>49</v>
      </c>
      <c r="B10" s="12"/>
      <c r="C10" s="12"/>
      <c r="D10" s="12"/>
      <c r="E10" s="12"/>
      <c r="F10" s="12"/>
    </row>
    <row r="11" customFormat="false" ht="19.5" hidden="false" customHeight="true" outlineLevel="0" collapsed="false">
      <c r="A11" s="13" t="s">
        <v>50</v>
      </c>
      <c r="B11" s="21" t="s">
        <v>51</v>
      </c>
      <c r="C11" s="21"/>
      <c r="D11" s="21"/>
      <c r="E11" s="17"/>
      <c r="F11" s="17"/>
    </row>
    <row r="12" customFormat="false" ht="19.5" hidden="false" customHeight="true" outlineLevel="0" collapsed="false">
      <c r="A12" s="13" t="s">
        <v>52</v>
      </c>
      <c r="B12" s="21" t="s">
        <v>51</v>
      </c>
      <c r="C12" s="21"/>
      <c r="D12" s="21"/>
      <c r="E12" s="17"/>
      <c r="F12" s="17"/>
    </row>
    <row r="13" customFormat="false" ht="19.5" hidden="false" customHeight="true" outlineLevel="0" collapsed="false">
      <c r="A13" s="13" t="s">
        <v>53</v>
      </c>
      <c r="B13" s="21" t="s">
        <v>51</v>
      </c>
      <c r="C13" s="21"/>
      <c r="D13" s="21"/>
      <c r="E13" s="17"/>
      <c r="F13" s="17"/>
    </row>
    <row r="14" customFormat="false" ht="19.5" hidden="false" customHeight="true" outlineLevel="0" collapsed="false">
      <c r="A14" s="13" t="s">
        <v>54</v>
      </c>
      <c r="B14" s="21" t="s">
        <v>51</v>
      </c>
      <c r="C14" s="21"/>
      <c r="D14" s="21"/>
      <c r="E14" s="17"/>
      <c r="F14" s="17"/>
    </row>
    <row r="15" customFormat="false" ht="19.5" hidden="false" customHeight="true" outlineLevel="0" collapsed="false">
      <c r="A15" s="13" t="s">
        <v>55</v>
      </c>
      <c r="B15" s="21" t="s">
        <v>51</v>
      </c>
      <c r="C15" s="21"/>
      <c r="D15" s="21"/>
      <c r="E15" s="17"/>
      <c r="F15" s="17"/>
    </row>
    <row r="16" customFormat="false" ht="19.5" hidden="false" customHeight="true" outlineLevel="0" collapsed="false">
      <c r="A16" s="13" t="s">
        <v>56</v>
      </c>
      <c r="B16" s="21" t="s">
        <v>51</v>
      </c>
      <c r="C16" s="21"/>
      <c r="D16" s="21"/>
      <c r="E16" s="17"/>
      <c r="F16" s="17"/>
    </row>
    <row r="17" customFormat="false" ht="19.5" hidden="false" customHeight="true" outlineLevel="0" collapsed="false">
      <c r="A17" s="13" t="s">
        <v>57</v>
      </c>
      <c r="B17" s="21" t="s">
        <v>51</v>
      </c>
      <c r="C17" s="21"/>
      <c r="D17" s="21"/>
      <c r="E17" s="17"/>
      <c r="F17" s="17"/>
    </row>
    <row r="18" customFormat="false" ht="19.5" hidden="false" customHeight="true" outlineLevel="0" collapsed="false">
      <c r="A18" s="13" t="s">
        <v>58</v>
      </c>
      <c r="B18" s="21" t="s">
        <v>51</v>
      </c>
      <c r="C18" s="21"/>
      <c r="D18" s="21"/>
      <c r="E18" s="17"/>
      <c r="F18" s="17"/>
    </row>
    <row r="19" customFormat="false" ht="19.5" hidden="false" customHeight="true" outlineLevel="0" collapsed="false">
      <c r="A19" s="13" t="s">
        <v>59</v>
      </c>
      <c r="B19" s="21" t="s">
        <v>51</v>
      </c>
      <c r="C19" s="21"/>
      <c r="D19" s="21"/>
      <c r="E19" s="17"/>
      <c r="F19" s="17"/>
    </row>
    <row r="20" customFormat="false" ht="19.5" hidden="false" customHeight="true" outlineLevel="0" collapsed="false">
      <c r="A20" s="13" t="s">
        <v>60</v>
      </c>
      <c r="B20" s="21" t="s">
        <v>51</v>
      </c>
      <c r="C20" s="21"/>
      <c r="D20" s="21"/>
      <c r="E20" s="17"/>
      <c r="F20" s="17"/>
    </row>
    <row r="21" customFormat="false" ht="19.5" hidden="false" customHeight="true" outlineLevel="0" collapsed="false">
      <c r="A21" s="13" t="s">
        <v>61</v>
      </c>
      <c r="B21" s="21" t="s">
        <v>51</v>
      </c>
      <c r="C21" s="21"/>
      <c r="D21" s="21"/>
      <c r="E21" s="17"/>
      <c r="F21" s="17"/>
    </row>
    <row r="22" customFormat="false" ht="19.5" hidden="false" customHeight="true" outlineLevel="0" collapsed="false">
      <c r="A22" s="13" t="s">
        <v>62</v>
      </c>
      <c r="B22" s="21" t="s">
        <v>51</v>
      </c>
      <c r="C22" s="21"/>
      <c r="D22" s="21"/>
      <c r="E22" s="17"/>
      <c r="F22" s="17"/>
    </row>
    <row r="23" customFormat="false" ht="19.5" hidden="false" customHeight="true" outlineLevel="0" collapsed="false">
      <c r="A23" s="13" t="s">
        <v>63</v>
      </c>
      <c r="B23" s="21" t="s">
        <v>51</v>
      </c>
      <c r="C23" s="21"/>
      <c r="D23" s="21"/>
      <c r="E23" s="17"/>
      <c r="F23" s="17"/>
    </row>
    <row r="24" customFormat="false" ht="19.5" hidden="false" customHeight="true" outlineLevel="0" collapsed="false">
      <c r="A24" s="13" t="s">
        <v>64</v>
      </c>
      <c r="B24" s="21" t="s">
        <v>51</v>
      </c>
      <c r="C24" s="21"/>
      <c r="D24" s="21"/>
      <c r="E24" s="17"/>
      <c r="F24" s="17"/>
    </row>
    <row r="25" customFormat="false" ht="19.5" hidden="false" customHeight="true" outlineLevel="0" collapsed="false">
      <c r="A25" s="13" t="s">
        <v>65</v>
      </c>
      <c r="B25" s="21" t="s">
        <v>51</v>
      </c>
      <c r="C25" s="21"/>
      <c r="D25" s="21"/>
      <c r="E25" s="17"/>
      <c r="F25" s="17"/>
    </row>
    <row r="26" customFormat="false" ht="19.5" hidden="false" customHeight="true" outlineLevel="0" collapsed="false">
      <c r="A26" s="13" t="s">
        <v>66</v>
      </c>
      <c r="B26" s="21" t="s">
        <v>51</v>
      </c>
      <c r="C26" s="21"/>
      <c r="D26" s="21"/>
      <c r="E26" s="17"/>
      <c r="F26" s="17"/>
    </row>
    <row r="27" customFormat="false" ht="19.5" hidden="false" customHeight="true" outlineLevel="0" collapsed="false">
      <c r="A27" s="13" t="s">
        <v>67</v>
      </c>
      <c r="B27" s="21" t="s">
        <v>51</v>
      </c>
      <c r="C27" s="21"/>
      <c r="D27" s="21"/>
      <c r="E27" s="17"/>
      <c r="F27" s="17"/>
    </row>
    <row r="28" customFormat="false" ht="19.5" hidden="false" customHeight="true" outlineLevel="0" collapsed="false">
      <c r="A28" s="13" t="s">
        <v>68</v>
      </c>
      <c r="B28" s="21" t="s">
        <v>51</v>
      </c>
      <c r="C28" s="21"/>
      <c r="D28" s="21"/>
      <c r="E28" s="17"/>
      <c r="F28" s="17"/>
    </row>
    <row r="30" customFormat="false" ht="18" hidden="false" customHeight="true" outlineLevel="0" collapsed="false">
      <c r="A30" s="19" t="s">
        <v>42</v>
      </c>
      <c r="B30" s="19"/>
      <c r="C30" s="19"/>
      <c r="D30" s="19"/>
      <c r="E30" s="19"/>
      <c r="F30" s="19"/>
    </row>
  </sheetData>
  <mergeCells count="24">
    <mergeCell ref="A1:F1"/>
    <mergeCell ref="A2:F2"/>
    <mergeCell ref="A5:F5"/>
    <mergeCell ref="A7:F7"/>
    <mergeCell ref="A10:F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A30:F30"/>
  </mergeCells>
  <conditionalFormatting sqref="D8:D9">
    <cfRule type="cellIs" priority="2" operator="greaterThan" aboveAverage="0" equalAverage="0" bottom="0" percent="0" rank="0" text="" dxfId="0">
      <formula>0</formula>
    </cfRule>
  </conditionalFormatting>
  <conditionalFormatting sqref="E8:E28">
    <cfRule type="cellIs" priority="3" operator="equal" aboveAverage="0" equalAverage="0" bottom="0" percent="0" rank="0" text="" dxfId="1">
      <formula>"86"</formula>
    </cfRule>
  </conditionalFormatting>
  <dataValidations count="2">
    <dataValidation allowBlank="true" error="Pick one from the drop-down." errorStyle="stop" errorTitle="Not on the list" operator="between" showDropDown="false" showErrorMessage="false" showInputMessage="false" sqref="E8:E28" type="list">
      <formula1>"OK,LOW,86"</formula1>
      <formula2>0</formula2>
    </dataValidation>
    <dataValidation allowBlank="true" error="Pick one from the drop-down." errorStyle="stop" errorTitle="Not on the list" operator="between" showDropDown="false" showErrorMessage="false" showInputMessage="false" sqref="F8:F28" type="list">
      <formula1>"YES,NO,N/A"</formula1>
      <formula2>0</formula2>
    </dataValidation>
  </dataValidations>
  <printOptions headings="false" gridLines="false" gridLinesSet="true" horizontalCentered="true" verticalCentered="false"/>
  <pageMargins left="0.4" right="0.4" top="0.45" bottom="0.4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1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24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21.75" hidden="false" customHeight="true" outlineLevel="0" collapsed="false">
      <c r="A2" s="2" t="s">
        <v>69</v>
      </c>
      <c r="B2" s="2"/>
      <c r="C2" s="2"/>
      <c r="D2" s="2"/>
      <c r="E2" s="2"/>
      <c r="F2" s="2"/>
    </row>
    <row r="3" customFormat="false" ht="21.75" hidden="false" customHeight="true" outlineLevel="0" collapsed="false">
      <c r="A3" s="3" t="s">
        <v>2</v>
      </c>
      <c r="B3" s="4" t="str">
        <f aca="false">IF('1. Batches &amp; Mixers'!$B$3="","",'1. Batches &amp; Mixers'!$B$3)</f>
        <v/>
      </c>
      <c r="C3" s="3" t="s">
        <v>3</v>
      </c>
      <c r="D3" s="4" t="str">
        <f aca="false">IF('1. Batches &amp; Mixers'!$D$3="","",'1. Batches &amp; Mixers'!$D$3)</f>
        <v/>
      </c>
      <c r="E3" s="3" t="s">
        <v>4</v>
      </c>
      <c r="F3" s="4" t="str">
        <f aca="false">IF('1. Batches &amp; Mixers'!$F$3="","",'1. Batches &amp; Mixers'!$F$3)</f>
        <v/>
      </c>
    </row>
    <row r="4" customFormat="false" ht="6" hidden="false" customHeight="true" outlineLevel="0" collapsed="false"/>
    <row r="5" customFormat="false" ht="25.5" hidden="false" customHeight="true" outlineLevel="0" collapsed="false">
      <c r="A5" s="5" t="s">
        <v>70</v>
      </c>
      <c r="B5" s="5"/>
      <c r="C5" s="5"/>
      <c r="D5" s="5"/>
      <c r="E5" s="5"/>
      <c r="F5" s="5"/>
    </row>
    <row r="6" customFormat="false" ht="30" hidden="false" customHeight="true" outlineLevel="0" collapsed="false">
      <c r="A6" s="6" t="s">
        <v>71</v>
      </c>
      <c r="B6" s="6" t="s">
        <v>7</v>
      </c>
      <c r="C6" s="6" t="s">
        <v>8</v>
      </c>
      <c r="D6" s="6" t="s">
        <v>9</v>
      </c>
      <c r="E6" s="6" t="s">
        <v>72</v>
      </c>
      <c r="F6" s="6" t="s">
        <v>73</v>
      </c>
    </row>
    <row r="7" customFormat="false" ht="24" hidden="false" customHeight="true" outlineLevel="0" collapsed="false">
      <c r="A7" s="13" t="s">
        <v>74</v>
      </c>
      <c r="B7" s="22"/>
      <c r="C7" s="15"/>
      <c r="D7" s="16" t="str">
        <f aca="false">IF(OR(B7="",C7=""),"",MAX(0,B7-C7))</f>
        <v/>
      </c>
      <c r="E7" s="17"/>
      <c r="F7" s="23"/>
    </row>
    <row r="8" customFormat="false" ht="24" hidden="false" customHeight="true" outlineLevel="0" collapsed="false">
      <c r="A8" s="13" t="s">
        <v>75</v>
      </c>
      <c r="B8" s="22"/>
      <c r="C8" s="15"/>
      <c r="D8" s="16" t="str">
        <f aca="false">IF(OR(B8="",C8=""),"",MAX(0,B8-C8))</f>
        <v/>
      </c>
      <c r="E8" s="17"/>
      <c r="F8" s="23"/>
    </row>
    <row r="9" customFormat="false" ht="24" hidden="false" customHeight="true" outlineLevel="0" collapsed="false">
      <c r="A9" s="13" t="s">
        <v>76</v>
      </c>
      <c r="B9" s="22"/>
      <c r="C9" s="15"/>
      <c r="D9" s="16" t="str">
        <f aca="false">IF(OR(B9="",C9=""),"",MAX(0,B9-C9))</f>
        <v/>
      </c>
      <c r="E9" s="17"/>
      <c r="F9" s="23"/>
    </row>
    <row r="10" customFormat="false" ht="24" hidden="false" customHeight="true" outlineLevel="0" collapsed="false">
      <c r="A10" s="13" t="s">
        <v>77</v>
      </c>
      <c r="B10" s="22"/>
      <c r="C10" s="15"/>
      <c r="D10" s="16" t="str">
        <f aca="false">IF(OR(B10="",C10=""),"",MAX(0,B10-C10))</f>
        <v/>
      </c>
      <c r="E10" s="17"/>
      <c r="F10" s="23"/>
    </row>
    <row r="11" customFormat="false" ht="24" hidden="false" customHeight="true" outlineLevel="0" collapsed="false">
      <c r="A11" s="13" t="s">
        <v>78</v>
      </c>
      <c r="B11" s="22"/>
      <c r="C11" s="15"/>
      <c r="D11" s="16" t="str">
        <f aca="false">IF(OR(B11="",C11=""),"",MAX(0,B11-C11))</f>
        <v/>
      </c>
      <c r="E11" s="17"/>
      <c r="F11" s="23"/>
    </row>
    <row r="12" customFormat="false" ht="24" hidden="false" customHeight="true" outlineLevel="0" collapsed="false">
      <c r="A12" s="13" t="s">
        <v>79</v>
      </c>
      <c r="B12" s="22"/>
      <c r="C12" s="15"/>
      <c r="D12" s="16" t="str">
        <f aca="false">IF(OR(B12="",C12=""),"",MAX(0,B12-C12))</f>
        <v/>
      </c>
      <c r="E12" s="17"/>
      <c r="F12" s="23"/>
    </row>
    <row r="13" customFormat="false" ht="24" hidden="false" customHeight="true" outlineLevel="0" collapsed="false">
      <c r="A13" s="13" t="s">
        <v>80</v>
      </c>
      <c r="B13" s="22"/>
      <c r="C13" s="15"/>
      <c r="D13" s="16" t="str">
        <f aca="false">IF(OR(B13="",C13=""),"",MAX(0,B13-C13))</f>
        <v/>
      </c>
      <c r="E13" s="17"/>
      <c r="F13" s="23"/>
    </row>
    <row r="15" customFormat="false" ht="15" hidden="false" customHeight="false" outlineLevel="0" collapsed="false">
      <c r="A15" s="24" t="s">
        <v>81</v>
      </c>
      <c r="B15" s="25"/>
      <c r="C15" s="25"/>
      <c r="D15" s="26" t="n">
        <f aca="false">SUM(D7:D13)</f>
        <v>0</v>
      </c>
      <c r="E15" s="27" t="s">
        <v>82</v>
      </c>
      <c r="F15" s="27"/>
    </row>
    <row r="17" customFormat="false" ht="18" hidden="false" customHeight="true" outlineLevel="0" collapsed="false">
      <c r="A17" s="19" t="s">
        <v>83</v>
      </c>
      <c r="B17" s="19"/>
      <c r="C17" s="19"/>
      <c r="D17" s="19"/>
      <c r="E17" s="19"/>
      <c r="F17" s="19"/>
    </row>
  </sheetData>
  <mergeCells count="6">
    <mergeCell ref="A1:F1"/>
    <mergeCell ref="A2:F2"/>
    <mergeCell ref="A5:F5"/>
    <mergeCell ref="B15:C15"/>
    <mergeCell ref="E15:F15"/>
    <mergeCell ref="A17:F17"/>
  </mergeCells>
  <conditionalFormatting sqref="D7:D13">
    <cfRule type="cellIs" priority="2" operator="greaterThan" aboveAverage="0" equalAverage="0" bottom="0" percent="0" rank="0" text="" dxfId="0">
      <formula>0</formula>
    </cfRule>
  </conditionalFormatting>
  <conditionalFormatting sqref="E7:E13">
    <cfRule type="expression" priority="3" aboveAverage="0" equalAverage="0" bottom="0" percent="0" rank="0" text="" dxfId="1">
      <formula>OR($E7="BROKEN",$E7="MISSING")</formula>
    </cfRule>
  </conditionalFormatting>
  <dataValidations count="1">
    <dataValidation allowBlank="true" error="Pick one from the drop-down." errorStyle="stop" errorTitle="Not on the list" operator="between" showDropDown="false" showErrorMessage="false" showInputMessage="false" sqref="E7:E13" type="list">
      <formula1>"OK,DIRTY,BROKEN,MISSING"</formula1>
      <formula2>0</formula2>
    </dataValidation>
  </dataValidations>
  <printOptions headings="false" gridLines="false" gridLinesSet="true" horizontalCentered="true" verticalCentered="false"/>
  <pageMargins left="0.4" right="0.4" top="0.45" bottom="0.4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4"/>
    <col collapsed="false" customWidth="true" hidden="false" outlineLevel="0" max="3" min="3" style="0" width="10"/>
  </cols>
  <sheetData>
    <row r="1" customFormat="false" ht="30" hidden="false" customHeight="true" outlineLevel="0" collapsed="false">
      <c r="A1" s="1" t="s">
        <v>0</v>
      </c>
      <c r="B1" s="1"/>
      <c r="C1" s="1"/>
    </row>
    <row r="2" customFormat="false" ht="21.75" hidden="false" customHeight="true" outlineLevel="0" collapsed="false">
      <c r="A2" s="2" t="s">
        <v>84</v>
      </c>
      <c r="B2" s="2"/>
      <c r="C2" s="2"/>
    </row>
    <row r="3" customFormat="false" ht="21.75" hidden="false" customHeight="true" outlineLevel="0" collapsed="false">
      <c r="A3" s="3" t="s">
        <v>2</v>
      </c>
      <c r="B3" s="4" t="str">
        <f aca="false">IF('1. Batches &amp; Mixers'!$B$3="","",'1. Batches &amp; Mixers'!$B$3)</f>
        <v/>
      </c>
      <c r="C3" s="4"/>
    </row>
    <row r="4" customFormat="false" ht="21.75" hidden="false" customHeight="true" outlineLevel="0" collapsed="false">
      <c r="A4" s="3" t="s">
        <v>3</v>
      </c>
      <c r="B4" s="4" t="str">
        <f aca="false">IF('1. Batches &amp; Mixers'!$D$3="","",'1. Batches &amp; Mixers'!$D$3)</f>
        <v/>
      </c>
      <c r="C4" s="4"/>
    </row>
    <row r="5" customFormat="false" ht="21.75" hidden="false" customHeight="true" outlineLevel="0" collapsed="false">
      <c r="A5" s="3" t="s">
        <v>4</v>
      </c>
      <c r="B5" s="4" t="str">
        <f aca="false">IF('1. Batches &amp; Mixers'!$F$3="","",'1. Batches &amp; Mixers'!$F$3)</f>
        <v/>
      </c>
      <c r="C5" s="4"/>
    </row>
    <row r="6" customFormat="false" ht="6" hidden="false" customHeight="true" outlineLevel="0" collapsed="false"/>
    <row r="7" customFormat="false" ht="25.5" hidden="false" customHeight="true" outlineLevel="0" collapsed="false">
      <c r="A7" s="5" t="s">
        <v>85</v>
      </c>
      <c r="B7" s="5"/>
      <c r="C7" s="5"/>
    </row>
    <row r="8" customFormat="false" ht="30" hidden="false" customHeight="true" outlineLevel="0" collapsed="false">
      <c r="A8" s="6" t="s">
        <v>6</v>
      </c>
      <c r="B8" s="6" t="s">
        <v>86</v>
      </c>
      <c r="C8" s="6" t="s">
        <v>87</v>
      </c>
    </row>
    <row r="9" customFormat="false" ht="18.75" hidden="false" customHeight="true" outlineLevel="0" collapsed="false">
      <c r="A9" s="13" t="s">
        <v>88</v>
      </c>
      <c r="B9" s="28" t="s">
        <v>89</v>
      </c>
      <c r="C9" s="15"/>
    </row>
    <row r="10" customFormat="false" ht="18.75" hidden="false" customHeight="true" outlineLevel="0" collapsed="false">
      <c r="A10" s="13" t="s">
        <v>90</v>
      </c>
      <c r="B10" s="28" t="s">
        <v>91</v>
      </c>
      <c r="C10" s="15"/>
    </row>
    <row r="11" customFormat="false" ht="18.75" hidden="false" customHeight="true" outlineLevel="0" collapsed="false">
      <c r="A11" s="13" t="s">
        <v>92</v>
      </c>
      <c r="B11" s="28" t="s">
        <v>93</v>
      </c>
      <c r="C11" s="15"/>
    </row>
    <row r="12" customFormat="false" ht="18.75" hidden="false" customHeight="true" outlineLevel="0" collapsed="false">
      <c r="A12" s="13" t="s">
        <v>94</v>
      </c>
      <c r="B12" s="28" t="s">
        <v>95</v>
      </c>
      <c r="C12" s="15"/>
    </row>
    <row r="13" customFormat="false" ht="18.75" hidden="false" customHeight="true" outlineLevel="0" collapsed="false">
      <c r="A13" s="13" t="s">
        <v>96</v>
      </c>
      <c r="B13" s="28" t="s">
        <v>97</v>
      </c>
      <c r="C13" s="15"/>
    </row>
    <row r="14" customFormat="false" ht="18.75" hidden="false" customHeight="true" outlineLevel="0" collapsed="false">
      <c r="A14" s="13" t="s">
        <v>98</v>
      </c>
      <c r="B14" s="28" t="s">
        <v>99</v>
      </c>
      <c r="C14" s="15"/>
    </row>
    <row r="15" customFormat="false" ht="18.75" hidden="false" customHeight="true" outlineLevel="0" collapsed="false">
      <c r="A15" s="13" t="s">
        <v>100</v>
      </c>
      <c r="B15" s="28" t="s">
        <v>101</v>
      </c>
      <c r="C15" s="15"/>
    </row>
    <row r="16" customFormat="false" ht="18.75" hidden="false" customHeight="true" outlineLevel="0" collapsed="false">
      <c r="A16" s="13" t="s">
        <v>102</v>
      </c>
      <c r="B16" s="28" t="s">
        <v>103</v>
      </c>
      <c r="C16" s="15"/>
    </row>
    <row r="17" customFormat="false" ht="18.75" hidden="false" customHeight="true" outlineLevel="0" collapsed="false">
      <c r="A17" s="13" t="s">
        <v>104</v>
      </c>
      <c r="B17" s="28" t="s">
        <v>105</v>
      </c>
      <c r="C17" s="15"/>
    </row>
    <row r="18" customFormat="false" ht="18.75" hidden="false" customHeight="true" outlineLevel="0" collapsed="false">
      <c r="A18" s="13" t="s">
        <v>106</v>
      </c>
      <c r="B18" s="28" t="s">
        <v>107</v>
      </c>
      <c r="C18" s="15"/>
    </row>
    <row r="19" customFormat="false" ht="18.75" hidden="false" customHeight="true" outlineLevel="0" collapsed="false">
      <c r="A19" s="13" t="s">
        <v>108</v>
      </c>
      <c r="B19" s="28" t="s">
        <v>95</v>
      </c>
      <c r="C19" s="15"/>
    </row>
    <row r="20" customFormat="false" ht="18.75" hidden="false" customHeight="true" outlineLevel="0" collapsed="false">
      <c r="A20" s="13" t="s">
        <v>109</v>
      </c>
      <c r="B20" s="28" t="s">
        <v>110</v>
      </c>
      <c r="C20" s="15"/>
    </row>
    <row r="21" customFormat="false" ht="18.75" hidden="false" customHeight="true" outlineLevel="0" collapsed="false">
      <c r="A21" s="13" t="s">
        <v>111</v>
      </c>
      <c r="B21" s="28" t="s">
        <v>112</v>
      </c>
      <c r="C21" s="15"/>
    </row>
    <row r="22" customFormat="false" ht="18.75" hidden="false" customHeight="true" outlineLevel="0" collapsed="false">
      <c r="A22" s="13" t="s">
        <v>113</v>
      </c>
      <c r="B22" s="28" t="s">
        <v>114</v>
      </c>
      <c r="C22" s="15"/>
    </row>
    <row r="23" customFormat="false" ht="18.75" hidden="false" customHeight="true" outlineLevel="0" collapsed="false">
      <c r="A23" s="13" t="s">
        <v>115</v>
      </c>
      <c r="B23" s="28" t="s">
        <v>105</v>
      </c>
      <c r="C23" s="15"/>
    </row>
    <row r="24" customFormat="false" ht="18.75" hidden="false" customHeight="true" outlineLevel="0" collapsed="false">
      <c r="A24" s="13" t="s">
        <v>116</v>
      </c>
      <c r="B24" s="28" t="s">
        <v>105</v>
      </c>
      <c r="C24" s="15"/>
    </row>
    <row r="26" customFormat="false" ht="19.5" hidden="false" customHeight="true" outlineLevel="0" collapsed="false">
      <c r="A26" s="12" t="s">
        <v>117</v>
      </c>
      <c r="B26" s="12"/>
      <c r="C26" s="12"/>
    </row>
    <row r="27" customFormat="false" ht="19.5" hidden="false" customHeight="true" outlineLevel="0" collapsed="false">
      <c r="A27" s="29" t="s">
        <v>118</v>
      </c>
      <c r="B27" s="29"/>
      <c r="C27" s="15"/>
    </row>
    <row r="28" customFormat="false" ht="19.5" hidden="false" customHeight="true" outlineLevel="0" collapsed="false">
      <c r="A28" s="29" t="s">
        <v>119</v>
      </c>
      <c r="B28" s="29"/>
      <c r="C28" s="15"/>
    </row>
    <row r="29" customFormat="false" ht="19.5" hidden="false" customHeight="true" outlineLevel="0" collapsed="false">
      <c r="A29" s="29" t="s">
        <v>120</v>
      </c>
      <c r="B29" s="29"/>
      <c r="C29" s="15"/>
    </row>
    <row r="31" customFormat="false" ht="15" hidden="false" customHeight="false" outlineLevel="0" collapsed="false">
      <c r="A31" s="30" t="s">
        <v>121</v>
      </c>
      <c r="B31" s="30"/>
      <c r="C31" s="30"/>
    </row>
    <row r="32" customFormat="false" ht="21.75" hidden="false" customHeight="true" outlineLevel="0" collapsed="false">
      <c r="A32" s="31"/>
      <c r="B32" s="31"/>
      <c r="C32" s="31"/>
    </row>
    <row r="33" customFormat="false" ht="21.75" hidden="false" customHeight="true" outlineLevel="0" collapsed="false">
      <c r="A33" s="31"/>
      <c r="B33" s="31"/>
      <c r="C33" s="31"/>
    </row>
    <row r="34" customFormat="false" ht="21.75" hidden="false" customHeight="true" outlineLevel="0" collapsed="false">
      <c r="A34" s="31"/>
      <c r="B34" s="31"/>
      <c r="C34" s="31"/>
    </row>
    <row r="36" customFormat="false" ht="15" hidden="false" customHeight="false" outlineLevel="0" collapsed="false">
      <c r="A36" s="32" t="s">
        <v>122</v>
      </c>
      <c r="B36" s="32"/>
      <c r="C36" s="32"/>
    </row>
    <row r="37" customFormat="false" ht="21.75" hidden="false" customHeight="true" outlineLevel="0" collapsed="false">
      <c r="A37" s="29" t="s">
        <v>123</v>
      </c>
      <c r="B37" s="29"/>
      <c r="C37" s="33"/>
    </row>
    <row r="38" customFormat="false" ht="21.75" hidden="false" customHeight="true" outlineLevel="0" collapsed="false">
      <c r="A38" s="29" t="s">
        <v>124</v>
      </c>
      <c r="B38" s="29"/>
      <c r="C38" s="33"/>
    </row>
    <row r="39" customFormat="false" ht="21.75" hidden="false" customHeight="true" outlineLevel="0" collapsed="false">
      <c r="A39" s="29" t="s">
        <v>125</v>
      </c>
      <c r="B39" s="29"/>
      <c r="C39" s="33"/>
    </row>
    <row r="41" customFormat="false" ht="18" hidden="false" customHeight="true" outlineLevel="0" collapsed="false">
      <c r="A41" s="19" t="s">
        <v>126</v>
      </c>
      <c r="B41" s="19"/>
      <c r="C41" s="19"/>
    </row>
  </sheetData>
  <mergeCells count="19">
    <mergeCell ref="A1:C1"/>
    <mergeCell ref="A2:C2"/>
    <mergeCell ref="B3:C3"/>
    <mergeCell ref="B4:C4"/>
    <mergeCell ref="B5:C5"/>
    <mergeCell ref="A7:C7"/>
    <mergeCell ref="A26:C26"/>
    <mergeCell ref="A27:B27"/>
    <mergeCell ref="A28:B28"/>
    <mergeCell ref="A29:B29"/>
    <mergeCell ref="A31:C31"/>
    <mergeCell ref="A32:C32"/>
    <mergeCell ref="A33:C33"/>
    <mergeCell ref="A34:C34"/>
    <mergeCell ref="A36:C36"/>
    <mergeCell ref="A37:B37"/>
    <mergeCell ref="A38:B38"/>
    <mergeCell ref="A39:B39"/>
    <mergeCell ref="A41:C41"/>
  </mergeCells>
  <conditionalFormatting sqref="C9:C24">
    <cfRule type="cellIs" priority="2" operator="equal" aboveAverage="0" equalAverage="0" bottom="0" percent="0" rank="0" text="" dxfId="1">
      <formula>"NO"</formula>
    </cfRule>
  </conditionalFormatting>
  <conditionalFormatting sqref="C27:C28">
    <cfRule type="cellIs" priority="3" operator="equal" aboveAverage="0" equalAverage="0" bottom="0" percent="0" rank="0" text="" dxfId="1">
      <formula>"NO"</formula>
    </cfRule>
  </conditionalFormatting>
  <conditionalFormatting sqref="C29">
    <cfRule type="cellIs" priority="4" operator="equal" aboveAverage="0" equalAverage="0" bottom="0" percent="0" rank="0" text="" dxfId="0">
      <formula>"YES"</formula>
    </cfRule>
  </conditionalFormatting>
  <dataValidations count="4">
    <dataValidation allowBlank="true" error="Pick one from the drop-down." errorStyle="stop" errorTitle="Not on the list" operator="between" showDropDown="false" showErrorMessage="false" showInputMessage="false" sqref="C9:C24" type="list">
      <formula1>"YES,NO"</formula1>
      <formula2>0</formula2>
    </dataValidation>
    <dataValidation allowBlank="true" error="Pick one from the drop-down." errorStyle="stop" errorTitle="Not on the list" operator="between" showDropDown="false" showErrorMessage="false" showInputMessage="false" sqref="C27" type="list">
      <formula1>"YES,NO"</formula1>
      <formula2>0</formula2>
    </dataValidation>
    <dataValidation allowBlank="true" error="Pick one from the drop-down." errorStyle="stop" errorTitle="Not on the list" operator="between" showDropDown="false" showErrorMessage="false" showInputMessage="false" sqref="C28" type="list">
      <formula1>"YES,NO"</formula1>
      <formula2>0</formula2>
    </dataValidation>
    <dataValidation allowBlank="true" error="Pick one from the drop-down." errorStyle="stop" errorTitle="Not on the list" operator="between" showDropDown="false" showErrorMessage="false" showInputMessage="false" sqref="C29" type="list">
      <formula1>"NO,YES"</formula1>
      <formula2>0</formula2>
    </dataValidation>
  </dataValidations>
  <printOptions headings="false" gridLines="false" gridLinesSet="true" horizontalCentered="true" verticalCentered="false"/>
  <pageMargins left="0.4" right="0.4" top="0.45" bottom="0.4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2026-09-21T17:50:23Z</dcterms:created>
  <dc:creator>openpyxl</dc:creator>
  <dc:description/>
  <dc:language>en-US</dc:language>
  <cp:lastModifiedBy/>
  <dcterms:modified xsi:type="dcterms:W3CDTF">2026-09-21T17:50:23Z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